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ourcing" sheetId="2" state="visible" r:id="rId4"/>
    <sheet name="Spec check findings" sheetId="3" state="visible" r:id="rId5"/>
    <sheet name="PCB reserve" sheetId="4" state="visible" r:id="rId6"/>
  </sheets>
  <definedNames>
    <definedName function="false" hidden="true" localSheetId="1" name="_xlnm._FilterDatabase" vbProcedure="false">Sourcing!$A$1:$Z$88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<sst xmlns="http://schemas.openxmlformats.org/spreadsheetml/2006/main" count="1611" uniqueCount="1053">
  <si>
    <t xml:space="preserve">DCDC_LLC_4SBB_G474 Rev E - shortage risk, 2nd / 3rd sources (spec + footprint checked)</t>
  </si>
  <si>
    <t xml:space="preserve">LCSC stock read live from lcsc.com on 2026-10-20. Stock moves daily - re-check at order time. JLC basic parts may be in JLC's own SMT stock when LCSC retail shows 0.</t>
  </si>
  <si>
    <t xml:space="preserve">Risk</t>
  </si>
  <si>
    <t xml:space="preserve">Lines</t>
  </si>
  <si>
    <t xml:space="preserve">Rule</t>
  </si>
  <si>
    <t xml:space="preserve">CRITICAL</t>
  </si>
  <si>
    <t xml:space="preserve">Out of stock / not listed / &lt; 50 boards, or a BOM error - change before ordering (same footprint)</t>
  </si>
  <si>
    <t xml:space="preserve">HIGH</t>
  </si>
  <si>
    <t xml:space="preserve">Covers &lt; 100-300 boards, single maker, or discontinued - buy now</t>
  </si>
  <si>
    <t xml:space="preserve">MEDIUM</t>
  </si>
  <si>
    <t xml:space="preserve">Covers &lt; 1,000 boards or alternates thin</t>
  </si>
  <si>
    <t xml:space="preserve">LOW</t>
  </si>
  <si>
    <t xml:space="preserve">Plenty of stock and two checked alternates</t>
  </si>
  <si>
    <t xml:space="preserve">Check</t>
  </si>
  <si>
    <t xml:space="preserve">Alternates</t>
  </si>
  <si>
    <t xml:space="preserve">Meaning</t>
  </si>
  <si>
    <t xml:space="preserve">DS</t>
  </si>
  <si>
    <t xml:space="preserve">Checked against the datasheet: pinout vs board netlist, land pattern vs footprint, ratings</t>
  </si>
  <si>
    <t xml:space="preserve">EQ</t>
  </si>
  <si>
    <t xml:space="preserve">Same part number from another maker, or passive with same value / package / dielectric and equal-or-better rating</t>
  </si>
  <si>
    <t xml:space="preserve">CHK</t>
  </si>
  <si>
    <t xml:space="preserve">Usable; one item to confirm (see note)</t>
  </si>
  <si>
    <t xml:space="preserve">PCB</t>
  </si>
  <si>
    <t xml:space="preserve">Needs a PCB change - see 'PCB reserve'</t>
  </si>
  <si>
    <t xml:space="preserve">Packages</t>
  </si>
  <si>
    <t xml:space="preserve">All lines use industry-standard packages except: T2 (Pulse EP13Plus, vendor-specific) and T1 (custom PQ2620, hand-fitted). L1 1770 / L2-L3 5040 / SW1 2.54 SMD DIP / J1-J2 5.08 pluggable are de-facto standards made by many vendors.</t>
  </si>
  <si>
    <t xml:space="preserve">First source changed on the Rev E BOM today (all in stock, same footprints):</t>
  </si>
  <si>
    <t xml:space="preserve">C1235414</t>
  </si>
  <si>
    <t xml:space="preserve">STM32G474RBT3 (ST)</t>
  </si>
  <si>
    <t xml:space="preserve">replaces C529413 STM32G474RBT6  -  not listed / out of stock</t>
  </si>
  <si>
    <t xml:space="preserve">C503061</t>
  </si>
  <si>
    <t xml:space="preserve">NCEP068N10G (NCE)</t>
  </si>
  <si>
    <t xml:space="preserve">replaces C503012 NCEP0160AG</t>
  </si>
  <si>
    <t xml:space="preserve">C2906861</t>
  </si>
  <si>
    <t xml:space="preserve">FRC0402F1002TS (FOJAN)</t>
  </si>
  <si>
    <t xml:space="preserve">replaces C25744 0402WGF1002TCE  -  not listed / out of stock</t>
  </si>
  <si>
    <t xml:space="preserve">C20539426</t>
  </si>
  <si>
    <t xml:space="preserve">TCC0402X5R105K500AT (CCTC)</t>
  </si>
  <si>
    <t xml:space="preserve">replaces C52923 CL05A105KA5NQNC  -  not listed / out of stock</t>
  </si>
  <si>
    <t xml:space="preserve">C2907006</t>
  </si>
  <si>
    <t xml:space="preserve">FRC0603F2R20TS (FOJAN)</t>
  </si>
  <si>
    <t xml:space="preserve">replaces C22939 0603WAF220KT5E  -  not listed / out of stock</t>
  </si>
  <si>
    <t xml:space="preserve">C2929994</t>
  </si>
  <si>
    <t xml:space="preserve">FRC0402F22R0TS (FOJAN)</t>
  </si>
  <si>
    <t xml:space="preserve">replaces C25092 0402WGF220JTCE  -  not listed / out of stock</t>
  </si>
  <si>
    <t xml:space="preserve">C844452</t>
  </si>
  <si>
    <t xml:space="preserve">TNPW040210K0BEED (VISHAY)</t>
  </si>
  <si>
    <t xml:space="preserve">replaces C190095 RT0402BRD0710KL  -  not listed / out of stock</t>
  </si>
  <si>
    <t xml:space="preserve">C85833</t>
  </si>
  <si>
    <t xml:space="preserve">BLM18KG601SN1D (muRata)</t>
  </si>
  <si>
    <t xml:space="preserve">replaces C1002 GZ1608D601TF  -  not listed / out of stock</t>
  </si>
  <si>
    <t xml:space="preserve">C167974</t>
  </si>
  <si>
    <t xml:space="preserve">FNR5040S470MT (cjiang)</t>
  </si>
  <si>
    <t xml:space="preserve">replaces C86617 SWPA5040S470MT  -  not listed / out of stock</t>
  </si>
  <si>
    <t xml:space="preserve">C2233314</t>
  </si>
  <si>
    <t xml:space="preserve">C0805C473F3GECAUTO (KEMET)</t>
  </si>
  <si>
    <t xml:space="preserve">replaces C53134 CL21B473KBCNNNC</t>
  </si>
  <si>
    <t xml:space="preserve">C2904236</t>
  </si>
  <si>
    <t xml:space="preserve">HoJLR2512-3W-4mR-1% (Milliohm)</t>
  </si>
  <si>
    <t xml:space="preserve">replaces C500738 LR2512D-3W-4mR-1%</t>
  </si>
  <si>
    <t xml:space="preserve">C2482</t>
  </si>
  <si>
    <t xml:space="preserve">SS110 (MDD(Microdiode Semiconductor))</t>
  </si>
  <si>
    <t xml:space="preserve">replaces C224219 SS110</t>
  </si>
  <si>
    <t xml:space="preserve">C307331</t>
  </si>
  <si>
    <t xml:space="preserve">CL05B104KB54PNC</t>
  </si>
  <si>
    <t xml:space="preserve">now also used for the 22 x 100 nF that were on C1525 (out of stock)</t>
  </si>
  <si>
    <t xml:space="preserve">Buy now / watch:</t>
  </si>
  <si>
    <t xml:space="preserve">C249664</t>
  </si>
  <si>
    <t xml:space="preserve">C1,C11,C60</t>
  </si>
  <si>
    <t xml:space="preserve">175 pcs, 3 per board (58 boards). ChengTao RVE1J470M1010 is an exact 2nd source.</t>
  </si>
  <si>
    <t xml:space="preserve">C49308184</t>
  </si>
  <si>
    <t xml:space="preserve">L1</t>
  </si>
  <si>
    <t xml:space="preserve">120 pcs. Buy now. SMMS1770-220M / SLO1770C (both 23 A sat, 1770 body) - SOREDE 16 A part dropped.</t>
  </si>
  <si>
    <t xml:space="preserve">C5718384</t>
  </si>
  <si>
    <t xml:space="preserve">T2</t>
  </si>
  <si>
    <t xml:space="preserve">102 pcs, single maker (Pulse). Buy now. Backup needs the T2 jumper option (PA3855.005NLT in series).</t>
  </si>
  <si>
    <t xml:space="preserve">C141980</t>
  </si>
  <si>
    <t xml:space="preserve">U2,U3,U10</t>
  </si>
  <si>
    <t xml:space="preserve">338 pcs, 3 per board. UCC27211AQDDARQ1 (same DDA) / UCC27211DR (SOIC-8, no pad).</t>
  </si>
  <si>
    <t xml:space="preserve">Not on LCSC</t>
  </si>
  <si>
    <t xml:space="preserve">T1</t>
  </si>
  <si>
    <t xml:space="preserve">Custom PQ2620 transformer - the only part not orderable from LCSC</t>
  </si>
  <si>
    <t xml:space="preserve">Extra to order</t>
  </si>
  <si>
    <t xml:space="preserve">J1, J2 plugs</t>
  </si>
  <si>
    <t xml:space="preserve">Kefa KF2EDGK-5.08-2P-AA (C440880), 2 per board - the cable-side plugs; JP1 needs one 2.54 mm jumper cap</t>
  </si>
  <si>
    <t xml:space="preserve">#</t>
  </si>
  <si>
    <t xml:space="preserve">Designators</t>
  </si>
  <si>
    <t xml:space="preserve">Qty / board</t>
  </si>
  <si>
    <t xml:space="preserve">Description</t>
  </si>
  <si>
    <t xml:space="preserve">Footprint</t>
  </si>
  <si>
    <t xml:space="preserve">Package type</t>
  </si>
  <si>
    <t xml:space="preserve">Primary MPN</t>
  </si>
  <si>
    <t xml:space="preserve">Manufacturer</t>
  </si>
  <si>
    <t xml:space="preserve">LCSC #</t>
  </si>
  <si>
    <t xml:space="preserve">LCSC stock today</t>
  </si>
  <si>
    <t xml:space="preserve">Boards covered</t>
  </si>
  <si>
    <t xml:space="preserve">Price from (USD)</t>
  </si>
  <si>
    <t xml:space="preserve">Action</t>
  </si>
  <si>
    <t xml:space="preserve">Use as primary (same footprint)</t>
  </si>
  <si>
    <t xml:space="preserve">2nd source</t>
  </si>
  <si>
    <t xml:space="preserve">2nd LCSC #</t>
  </si>
  <si>
    <t xml:space="preserve">2nd stock</t>
  </si>
  <si>
    <t xml:space="preserve">2nd check</t>
  </si>
  <si>
    <t xml:space="preserve">2nd spec / fit note</t>
  </si>
  <si>
    <t xml:space="preserve">3rd source</t>
  </si>
  <si>
    <t xml:space="preserve">3rd LCSC #</t>
  </si>
  <si>
    <t xml:space="preserve">3rd stock</t>
  </si>
  <si>
    <t xml:space="preserve">3rd check</t>
  </si>
  <si>
    <t xml:space="preserve">3rd spec / fit note</t>
  </si>
  <si>
    <t xml:space="preserve">Sources with stock for 100 boards</t>
  </si>
  <si>
    <t xml:space="preserve">47u 63V</t>
  </si>
  <si>
    <t xml:space="preserve">CP_Elec_10x10.5</t>
  </si>
  <si>
    <t xml:space="preserve">Standard (SMD alu 10x10.5)</t>
  </si>
  <si>
    <t xml:space="preserve">VEJ470M1JTR-1010</t>
  </si>
  <si>
    <t xml:space="preserve">Lelon</t>
  </si>
  <si>
    <t xml:space="preserve">RVE1J470M1010 (ChengTao)</t>
  </si>
  <si>
    <t xml:space="preserve">C46527630</t>
  </si>
  <si>
    <t xml:space="preserve">ChengTao RVE1J470M1010: 47 uF 63 V 10x10.5, 105 C</t>
  </si>
  <si>
    <t xml:space="preserve">RVT63V100M10X10 (JIERR)</t>
  </si>
  <si>
    <t xml:space="preserve">C51953411</t>
  </si>
  <si>
    <t xml:space="preserve">JIERR 100 uF 63 V 10x10.5: same can, more C -&gt; check F1 inrush</t>
  </si>
  <si>
    <t xml:space="preserve">PSPMAA1770-220M-CGP</t>
  </si>
  <si>
    <t xml:space="preserve">L_Bourns_SRP1770TA_16.9x16.9mm</t>
  </si>
  <si>
    <t xml:space="preserve">De-facto standard (many makers) (1770 molded)</t>
  </si>
  <si>
    <t xml:space="preserve">PROD Tech</t>
  </si>
  <si>
    <t xml:space="preserve">SMMS1770-220M (Shun Xiang Nuo)</t>
  </si>
  <si>
    <t xml:space="preserve">C2976969</t>
  </si>
  <si>
    <t xml:space="preserve">Shun Xiang Nuo SMMS1770-220M 22 uH, Isat 23 A, 17.5x17.2 - same 1770 body; confirm land drawing</t>
  </si>
  <si>
    <t xml:space="preserve">SLO1770C220MTT (Sunltech)</t>
  </si>
  <si>
    <t xml:space="preserve">C48996578</t>
  </si>
  <si>
    <t xml:space="preserve">Sunltech SLO1770C220MTT 22 uH, Isat 23 A - land 3.5x12.8 / gap 11.2 fits the SRP1770 footprint</t>
  </si>
  <si>
    <t xml:space="preserve">PA3855.006NLT</t>
  </si>
  <si>
    <t xml:space="preserve">TX_PA3855_EP13_10P</t>
  </si>
  <si>
    <t xml:space="preserve">Vendor-specific (Pulse EP13Plus)</t>
  </si>
  <si>
    <t xml:space="preserve">PULSE</t>
  </si>
  <si>
    <t xml:space="preserve">PA3855.005NLT (PULSE)</t>
  </si>
  <si>
    <t xml:space="preserve">C17526143</t>
  </si>
  <si>
    <t xml:space="preserve">Pulse PA3855.005NLT: same EP13 footprint and primary, secondaries must be in SERIES - needs the T2 jumper option</t>
  </si>
  <si>
    <t xml:space="preserve">Custom-wound EP13 to the same pinout from a local winder (no PCB change)</t>
  </si>
  <si>
    <t xml:space="preserve">UCC27211DDAR</t>
  </si>
  <si>
    <t xml:space="preserve">SOIC-8-1EP_3.9x4.9mm_P1.27mm_EP2.41x3.3mm</t>
  </si>
  <si>
    <t xml:space="preserve">Standard (SOIC-8 PowerPAD)</t>
  </si>
  <si>
    <t xml:space="preserve">TI</t>
  </si>
  <si>
    <t xml:space="preserve">UCC27211AQDDARQ1 (TI)</t>
  </si>
  <si>
    <t xml:space="preserve">C485921</t>
  </si>
  <si>
    <t xml:space="preserve">TI UCC27211AQDDARQ1 (same DDA package and pinout)</t>
  </si>
  <si>
    <t xml:space="preserve">UCC27211DR (TI)</t>
  </si>
  <si>
    <t xml:space="preserve">C2871979</t>
  </si>
  <si>
    <t xml:space="preserve">TI UCC27211DR SOIC-8 (no pad): same pinout; pad 9 left unsoldered - remove its paste for this build</t>
  </si>
  <si>
    <t xml:space="preserve">CR1,CR2,CR3,CR4,CR5,CR6</t>
  </si>
  <si>
    <t xml:space="preserve">100n 100V C0G</t>
  </si>
  <si>
    <t xml:space="preserve">C_1206_3216Metric</t>
  </si>
  <si>
    <t xml:space="preserve">Standard (1206)</t>
  </si>
  <si>
    <t xml:space="preserve">C1206N104J101T</t>
  </si>
  <si>
    <t xml:space="preserve">IHHEC</t>
  </si>
  <si>
    <t xml:space="preserve">C2940749</t>
  </si>
  <si>
    <t xml:space="preserve">902 pcs, 6 per board (150 boards). Murata / TDK 1206 C0G 100 V are verified 2nd/3rd (CCTC/HRE 'M3L' parts dropped: not C0G).</t>
  </si>
  <si>
    <t xml:space="preserve">GRM31C5C2A104JA01L (muRata)</t>
  </si>
  <si>
    <t xml:space="preserve">C405303</t>
  </si>
  <si>
    <t xml:space="preserve">Murata GRM31C5C2A104JA01L 100 nF C0G 5 % 100 V 1206</t>
  </si>
  <si>
    <t xml:space="preserve">C3216C0G2A104JT000E (TDK)</t>
  </si>
  <si>
    <t xml:space="preserve">C338111</t>
  </si>
  <si>
    <t xml:space="preserve">TDK C3216C0G2A104JT000E 100 nF C0G 5 % 100 V 1206</t>
  </si>
  <si>
    <t xml:space="preserve">F1</t>
  </si>
  <si>
    <t xml:space="preserve">0458007.DR</t>
  </si>
  <si>
    <t xml:space="preserve">Fuse_1206_3216Metric</t>
  </si>
  <si>
    <t xml:space="preserve">Standard (1206 fuse)</t>
  </si>
  <si>
    <t xml:space="preserve">Littelfuse</t>
  </si>
  <si>
    <t xml:space="preserve">C206980</t>
  </si>
  <si>
    <t xml:space="preserve">765 pcs. Reomax R12.000.7 verified as 2nd source.</t>
  </si>
  <si>
    <t xml:space="preserve">R12.000.7 (Reomax)</t>
  </si>
  <si>
    <t xml:space="preserve">C5383192</t>
  </si>
  <si>
    <t xml:space="preserve">Reomax R12.000.7 7 A 63 V DC 1206</t>
  </si>
  <si>
    <t xml:space="preserve">3413.0326.11 (SCHURTER)</t>
  </si>
  <si>
    <t xml:space="preserve">C3165071</t>
  </si>
  <si>
    <t xml:space="preserve">Schurter 3413.0326.11 7 A 63 V 1206 (low stock)</t>
  </si>
  <si>
    <t xml:space="preserve">Q1,Q4</t>
  </si>
  <si>
    <t xml:space="preserve">NCEP0140AG</t>
  </si>
  <si>
    <t xml:space="preserve">TDSON-8-1</t>
  </si>
  <si>
    <t xml:space="preserve">Standard (DFN5x6 / PowerPAK SO-8)</t>
  </si>
  <si>
    <t xml:space="preserve">NCE</t>
  </si>
  <si>
    <t xml:space="preserve">C503009</t>
  </si>
  <si>
    <t xml:space="preserve">4,695 pcs (2,300 boards). NCE alternates have 2x the gate charge - fine, but check Q1/Q4 temperature on the bench if used.</t>
  </si>
  <si>
    <t xml:space="preserve">NCEP095N10AG (NCE)</t>
  </si>
  <si>
    <t xml:space="preserve">C2686677</t>
  </si>
  <si>
    <t xml:space="preserve">NCE NCEP095N10AG 100 V 12 mOhm: Qg 54 nC vs 26 nC - more gate/switching loss in the hard-switched Q1/Q4, check temp</t>
  </si>
  <si>
    <t xml:space="preserve">NCE NCEP068N10G 100 V 6.1 mOhm: Qg 60 nC vs 26 nC - same check</t>
  </si>
  <si>
    <t xml:space="preserve">Q11</t>
  </si>
  <si>
    <t xml:space="preserve">FDN86246</t>
  </si>
  <si>
    <t xml:space="preserve">SOT-23</t>
  </si>
  <si>
    <t xml:space="preserve">Standard (SOT-23)</t>
  </si>
  <si>
    <t xml:space="preserve">onsemi</t>
  </si>
  <si>
    <t xml:space="preserve">C891118</t>
  </si>
  <si>
    <t xml:space="preserve">1,606 pcs. JSMSEMI FDN86246 / HSS2N15 (150 V) - same SOT-23 pinout.</t>
  </si>
  <si>
    <t xml:space="preserve">FDN86246 (JSMSEMI)</t>
  </si>
  <si>
    <t xml:space="preserve">C7421706</t>
  </si>
  <si>
    <t xml:space="preserve">JSMSEMI FDN86246 (same part no.) 150 V</t>
  </si>
  <si>
    <t xml:space="preserve">HSS2N15 (HUASHUO)</t>
  </si>
  <si>
    <t xml:space="preserve">C2987707</t>
  </si>
  <si>
    <t xml:space="preserve">HUASHUO HSS2N15 150 V 1.8 A</t>
  </si>
  <si>
    <t xml:space="preserve">R81</t>
  </si>
  <si>
    <t xml:space="preserve">191k 0.1%</t>
  </si>
  <si>
    <t xml:space="preserve">R_1206_3216Metric</t>
  </si>
  <si>
    <t xml:space="preserve">RT1206BRD07191KL</t>
  </si>
  <si>
    <t xml:space="preserve">YAGEO</t>
  </si>
  <si>
    <t xml:space="preserve">C870479</t>
  </si>
  <si>
    <t xml:space="preserve">Single LCSC source (4,755 pcs, 1 per board). Other makers only at Digikey/Mouser.</t>
  </si>
  <si>
    <t xml:space="preserve">No other 191k 0.1 % 1206 in stock on LCSC (Panasonic ERA-8AEB1913V / Vishay TNPW1206191KBEEA at Digikey/Mouser)</t>
  </si>
  <si>
    <t xml:space="preserve">none in stock on LCSC</t>
  </si>
  <si>
    <t xml:space="preserve">U9</t>
  </si>
  <si>
    <t xml:space="preserve">CA-IS3062VW</t>
  </si>
  <si>
    <t xml:space="preserve">SOIC-16W_7.5x10.3mm_P1.27mm</t>
  </si>
  <si>
    <t xml:space="preserve">Standard (SOIC-16W)</t>
  </si>
  <si>
    <t xml:space="preserve">Chipanalog</t>
  </si>
  <si>
    <t xml:space="preserve">C5338808</t>
  </si>
  <si>
    <t xml:space="preserve">4,777 pcs but Chipanalog only (integrated isolated DC-DC). Backup ISO1042DW + B0505S needs the U9 reserve option.</t>
  </si>
  <si>
    <t xml:space="preserve">ISO1042QDWRQ1 (TI)</t>
  </si>
  <si>
    <t xml:space="preserve">C2671569</t>
  </si>
  <si>
    <t xml:space="preserve">TI ISO1042QDWRQ1 fits the U9 footprint (pins 2-16 match) but needs pin 1 = 3.3 V and an external isolated 5 V (B0505S module) - U9 reserve option</t>
  </si>
  <si>
    <t xml:space="preserve">ISO1042DWR (TI)</t>
  </si>
  <si>
    <t xml:space="preserve">C1848126</t>
  </si>
  <si>
    <t xml:space="preserve">TI ISO1042DWR - same as above</t>
  </si>
  <si>
    <t xml:space="preserve">U12</t>
  </si>
  <si>
    <t xml:space="preserve">CA-IS3742LW</t>
  </si>
  <si>
    <t xml:space="preserve">C4944981</t>
  </si>
  <si>
    <t xml:space="preserve">2,320 pcs; default-LOW wide-body alternates exist but have low stock (TI 139, YLPTEC 90).</t>
  </si>
  <si>
    <t xml:space="preserve">ISO7742FDWR (TI)</t>
  </si>
  <si>
    <t xml:space="preserve">C2862403</t>
  </si>
  <si>
    <t xml:space="preserve">TI ISO7742FDWR: same pinout, default LOW (F) like CA-IS3742L - low stock</t>
  </si>
  <si>
    <t xml:space="preserve">ISO7742W0-Y (YLPTEC)</t>
  </si>
  <si>
    <t xml:space="preserve">C53446650</t>
  </si>
  <si>
    <t xml:space="preserve">YLPTEC ISO7742W0-Y: wide body, default LOW ('0') - low stock (do NOT use the N0 narrow-body part)</t>
  </si>
  <si>
    <t xml:space="preserve">U1</t>
  </si>
  <si>
    <t xml:space="preserve">STM32G474RBT3 (hand-soldered)</t>
  </si>
  <si>
    <t xml:space="preserve">LQFP-64_10x10mm_P0.5mm</t>
  </si>
  <si>
    <t xml:space="preserve">Standard (LQFP-64)</t>
  </si>
  <si>
    <t xml:space="preserve">STM32G474RBT3</t>
  </si>
  <si>
    <t xml:space="preserve">ST</t>
  </si>
  <si>
    <t xml:space="preserve">Primary covers the build; alternates thin - watch.</t>
  </si>
  <si>
    <t xml:space="preserve">STM32G474RET6 (ST)</t>
  </si>
  <si>
    <t xml:space="preserve">C521608</t>
  </si>
  <si>
    <t xml:space="preserve">ST STM32G474RET6 (512 KB, same pinout; 12 pcs)</t>
  </si>
  <si>
    <t xml:space="preserve">J7</t>
  </si>
  <si>
    <t xml:space="preserve">HX PZ1.27-2x5P TP (hand-soldered)</t>
  </si>
  <si>
    <t xml:space="preserve">PinHeader_2x05_P1.27mm_Vertical_SMD</t>
  </si>
  <si>
    <t xml:space="preserve">Standard (1.27 SMD header)</t>
  </si>
  <si>
    <t xml:space="preserve">HX PZ1.27-2x5P TP</t>
  </si>
  <si>
    <t xml:space="preserve">hanxia</t>
  </si>
  <si>
    <t xml:space="preserve">C41376037</t>
  </si>
  <si>
    <t xml:space="preserve">Samtec FTSH-105-01-L-DV-K or any 2x5 1.27 mm SMD header</t>
  </si>
  <si>
    <t xml:space="preserve">C2,C3,C4,C5,C7,C8,C9,C10,C61,C62,C63,C70,C95</t>
  </si>
  <si>
    <t xml:space="preserve">2.2u 100V X7R</t>
  </si>
  <si>
    <t xml:space="preserve">C_1210_3225Metric</t>
  </si>
  <si>
    <t xml:space="preserve">Standard (1210)</t>
  </si>
  <si>
    <t xml:space="preserve">FS32X225K101EGG</t>
  </si>
  <si>
    <t xml:space="preserve">PSA</t>
  </si>
  <si>
    <t xml:space="preserve">C153036</t>
  </si>
  <si>
    <t xml:space="preserve">Stock fine; 2nd/3rd checked.</t>
  </si>
  <si>
    <t xml:space="preserve">GRM32ER72A225KA35L (muRata)</t>
  </si>
  <si>
    <t xml:space="preserve">C86054</t>
  </si>
  <si>
    <t xml:space="preserve">Murata GRM32ER72A225KA35L 2.2 uF 100 V X7R 1210</t>
  </si>
  <si>
    <t xml:space="preserve">HMK325B7225KN-T (Taiyo Yuden)</t>
  </si>
  <si>
    <t xml:space="preserve">C92775</t>
  </si>
  <si>
    <t xml:space="preserve">Taiyo Yuden HMK325B7225KN-T 2.2 uF 100 V X7R 1210</t>
  </si>
  <si>
    <t xml:space="preserve">C6,C12</t>
  </si>
  <si>
    <t xml:space="preserve">100n 100V X7R</t>
  </si>
  <si>
    <t xml:space="preserve">C_0603_1608Metric</t>
  </si>
  <si>
    <t xml:space="preserve">Standard (0603)</t>
  </si>
  <si>
    <t xml:space="preserve">0603B104K101NT</t>
  </si>
  <si>
    <t xml:space="preserve">FH</t>
  </si>
  <si>
    <t xml:space="preserve">C88219</t>
  </si>
  <si>
    <t xml:space="preserve">CC0603KRX7R0BB104 (YAGEO)</t>
  </si>
  <si>
    <t xml:space="preserve">C113803</t>
  </si>
  <si>
    <t xml:space="preserve">Yageo CC0603KRX7R0BB104 100 V X7R</t>
  </si>
  <si>
    <t xml:space="preserve">AM03B104K101NT (FH)</t>
  </si>
  <si>
    <t xml:space="preserve">C42959888</t>
  </si>
  <si>
    <t xml:space="preserve">FH AM03B104K101NT 100 V X7R</t>
  </si>
  <si>
    <t xml:space="preserve">C15,C18,C67</t>
  </si>
  <si>
    <t xml:space="preserve">100n 25V X7R</t>
  </si>
  <si>
    <t xml:space="preserve">CC0603KRX7R9BB104</t>
  </si>
  <si>
    <t xml:space="preserve">C14663</t>
  </si>
  <si>
    <t xml:space="preserve">0603B104K500CT (Walsin)</t>
  </si>
  <si>
    <t xml:space="preserve">C314282</t>
  </si>
  <si>
    <t xml:space="preserve">Walsin 0603B104K500CT 50 V X7R</t>
  </si>
  <si>
    <t xml:space="preserve">VJ0603Y104KXACW1BC (VISHAY)</t>
  </si>
  <si>
    <t xml:space="preserve">C161854</t>
  </si>
  <si>
    <t xml:space="preserve">Vishay VJ0603Y104KXACW1BC 50 V X7R</t>
  </si>
  <si>
    <t xml:space="preserve">C16,C19,C68,C69,C88</t>
  </si>
  <si>
    <t xml:space="preserve">1u 25V X7R</t>
  </si>
  <si>
    <t xml:space="preserve">CL10A105KB8NNNC</t>
  </si>
  <si>
    <t xml:space="preserve">Samsung Electro-Mechanics</t>
  </si>
  <si>
    <t xml:space="preserve">C15849</t>
  </si>
  <si>
    <t xml:space="preserve">0603X105K500NT (FH)</t>
  </si>
  <si>
    <t xml:space="preserve">C157684</t>
  </si>
  <si>
    <t xml:space="preserve">FH 0603X105K500NT 1 uF 50 V X5R</t>
  </si>
  <si>
    <t xml:space="preserve">CC0603KRX5R9BB105 (YAGEO)</t>
  </si>
  <si>
    <t xml:space="preserve">C128624</t>
  </si>
  <si>
    <t xml:space="preserve">Yageo CC0603KRX5R9BB105 1 uF 50 V X5R</t>
  </si>
  <si>
    <t xml:space="preserve">C17,C20,C22,C23,C71,C89,C29,C30,C31,C32,C33,C34,C37,C40,C43,C44,C46,C48,C50,C53,C54,C75,C77,C80,C83,C84,C90,C99</t>
  </si>
  <si>
    <t xml:space="preserve">100n 25V</t>
  </si>
  <si>
    <t xml:space="preserve">C_0402_1005Metric</t>
  </si>
  <si>
    <t xml:space="preserve">Standard (0402)</t>
  </si>
  <si>
    <t xml:space="preserve">CC0402KRX7R9BB104 (YAGEO)</t>
  </si>
  <si>
    <t xml:space="preserve">C131394</t>
  </si>
  <si>
    <t xml:space="preserve">Yageo CC0402KRX7R9BB104 50 V X7R</t>
  </si>
  <si>
    <t xml:space="preserve">0402B104K500NT (FH)</t>
  </si>
  <si>
    <t xml:space="preserve">C110251</t>
  </si>
  <si>
    <t xml:space="preserve">FH 0402B104K500NT 50 V X7R</t>
  </si>
  <si>
    <t xml:space="preserve">C21,C24,C25,C26,C72,C96,C97,C49,C52</t>
  </si>
  <si>
    <t xml:space="preserve">10u 25V X5R</t>
  </si>
  <si>
    <t xml:space="preserve">C_0805_2012Metric</t>
  </si>
  <si>
    <t xml:space="preserve">Standard (0805)</t>
  </si>
  <si>
    <t xml:space="preserve">CL21A106KAYNNNE</t>
  </si>
  <si>
    <t xml:space="preserve">C15850</t>
  </si>
  <si>
    <t xml:space="preserve">TCC0805X5R106K350FT (CCTC)</t>
  </si>
  <si>
    <t xml:space="preserve">C18185754</t>
  </si>
  <si>
    <t xml:space="preserve">CCTC TCC0805X5R106K350FT 10 uF 35 V X5R</t>
  </si>
  <si>
    <t xml:space="preserve">GRM21BR6YA106KE43L (muRata)</t>
  </si>
  <si>
    <t xml:space="preserve">C162422</t>
  </si>
  <si>
    <t xml:space="preserve">Murata GRM21BR6YA106KE43L 10 uF 35 V X5R</t>
  </si>
  <si>
    <t xml:space="preserve">C27,C73</t>
  </si>
  <si>
    <t xml:space="preserve">22u 10V X5R</t>
  </si>
  <si>
    <t xml:space="preserve">CL21A226MAQNNNE</t>
  </si>
  <si>
    <t xml:space="preserve">C45783</t>
  </si>
  <si>
    <t xml:space="preserve">TCC0805X5R226M250FT (CCTC)</t>
  </si>
  <si>
    <t xml:space="preserve">C20416420</t>
  </si>
  <si>
    <t xml:space="preserve">CCTC TCC0805X5R226M250FT 22 uF 25 V</t>
  </si>
  <si>
    <t xml:space="preserve">0805X226M250NT (FH)</t>
  </si>
  <si>
    <t xml:space="preserve">C129303</t>
  </si>
  <si>
    <t xml:space="preserve">FH 0805X226M250NT 22 uF 25 V</t>
  </si>
  <si>
    <t xml:space="preserve">C28,C36,C51,C86</t>
  </si>
  <si>
    <t xml:space="preserve">1u 10V</t>
  </si>
  <si>
    <t xml:space="preserve">TCC0402X5R105K500AT</t>
  </si>
  <si>
    <t xml:space="preserve">CCTC</t>
  </si>
  <si>
    <t xml:space="preserve">GRM155R61H105KE05D (muRata)</t>
  </si>
  <si>
    <t xml:space="preserve">C1518208</t>
  </si>
  <si>
    <t xml:space="preserve">Murata GRM155R61H105KE05D 1 uF 50 V X5R</t>
  </si>
  <si>
    <t xml:space="preserve">C35</t>
  </si>
  <si>
    <t xml:space="preserve">4.7u 10V</t>
  </si>
  <si>
    <t xml:space="preserve">CL10A475KO8NNNC</t>
  </si>
  <si>
    <t xml:space="preserve">C19666</t>
  </si>
  <si>
    <t xml:space="preserve">EMK107ABJ475KA-T (Taiyo Yuden)</t>
  </si>
  <si>
    <t xml:space="preserve">C92758</t>
  </si>
  <si>
    <t xml:space="preserve">Taiyo Yuden EMK107ABJ475KA-T 16 V X5R</t>
  </si>
  <si>
    <t xml:space="preserve">GRM188R61E475KE11D (muRata)</t>
  </si>
  <si>
    <t xml:space="preserve">C90057</t>
  </si>
  <si>
    <t xml:space="preserve">Murata GRM188R61E475KE11D 25 V X5R</t>
  </si>
  <si>
    <t xml:space="preserve">C38,C39</t>
  </si>
  <si>
    <t xml:space="preserve">12p C0G</t>
  </si>
  <si>
    <t xml:space="preserve">0402CG120J500NT</t>
  </si>
  <si>
    <t xml:space="preserve">C1547</t>
  </si>
  <si>
    <t xml:space="preserve">0402CG120F500NT (FH)</t>
  </si>
  <si>
    <t xml:space="preserve">C182477</t>
  </si>
  <si>
    <t xml:space="preserve">FH 0402CG120F500NT 12 pF C0G 1 %</t>
  </si>
  <si>
    <t xml:space="preserve">AM02CG120J500NT (FH)</t>
  </si>
  <si>
    <t xml:space="preserve">C49238110</t>
  </si>
  <si>
    <t xml:space="preserve">FH AM02CG120J500NT 12 pF C0G</t>
  </si>
  <si>
    <t xml:space="preserve">C41,C42,C79,C91,C92</t>
  </si>
  <si>
    <t xml:space="preserve">1n C0G</t>
  </si>
  <si>
    <t xml:space="preserve">CC0402JRNPO9BN102</t>
  </si>
  <si>
    <t xml:space="preserve">C113780</t>
  </si>
  <si>
    <t xml:space="preserve">0402N102J500CT (Walsin)</t>
  </si>
  <si>
    <t xml:space="preserve">C237166</t>
  </si>
  <si>
    <t xml:space="preserve">Walsin 0402N102J500CT 1 nF NP0</t>
  </si>
  <si>
    <t xml:space="preserve">AC0402JRNPO9BN102 (YAGEO)</t>
  </si>
  <si>
    <t xml:space="preserve">C427014</t>
  </si>
  <si>
    <t xml:space="preserve">Yageo AC0402JRNPO9BN102 1 nF NP0</t>
  </si>
  <si>
    <t xml:space="preserve">C45</t>
  </si>
  <si>
    <t xml:space="preserve">470p C0G</t>
  </si>
  <si>
    <t xml:space="preserve">CC0402JRNPO9BN471</t>
  </si>
  <si>
    <t xml:space="preserve">C106259</t>
  </si>
  <si>
    <t xml:space="preserve">0402N471J500CT (Walsin)</t>
  </si>
  <si>
    <t xml:space="preserve">C295986</t>
  </si>
  <si>
    <t xml:space="preserve">Walsin 0402N471J500CT 470 pF NP0</t>
  </si>
  <si>
    <t xml:space="preserve">CC0402GRNPO9BN471 (YAGEO)</t>
  </si>
  <si>
    <t xml:space="preserve">C541429</t>
  </si>
  <si>
    <t xml:space="preserve">Yageo CC0402GRNPO9BN471 470 pF NP0 2 %</t>
  </si>
  <si>
    <t xml:space="preserve">C47</t>
  </si>
  <si>
    <t xml:space="preserve">10n C0G</t>
  </si>
  <si>
    <t xml:space="preserve">GRM1555C1H103JE01D</t>
  </si>
  <si>
    <t xml:space="preserve">muRata</t>
  </si>
  <si>
    <t xml:space="preserve">C22400107</t>
  </si>
  <si>
    <t xml:space="preserve">GRM1555C1E103JE01D (muRata)</t>
  </si>
  <si>
    <t xml:space="preserve">C3855387</t>
  </si>
  <si>
    <t xml:space="preserve">Murata GRM1555C1E103JE01D C0G 25 V (C47 sits on a 3.3 V ADC node)</t>
  </si>
  <si>
    <t xml:space="preserve">CGA0402C0G103J250GT (HRE)</t>
  </si>
  <si>
    <t xml:space="preserve">C36911359</t>
  </si>
  <si>
    <t xml:space="preserve">HRE CGA0402C0G103J250GT C0G 25 V</t>
  </si>
  <si>
    <t xml:space="preserve">C55</t>
  </si>
  <si>
    <t xml:space="preserve">4.7n</t>
  </si>
  <si>
    <t xml:space="preserve">0603B472K500NT</t>
  </si>
  <si>
    <t xml:space="preserve">C53987</t>
  </si>
  <si>
    <t xml:space="preserve">0603B472K101NT (FH)</t>
  </si>
  <si>
    <t xml:space="preserve">C12164</t>
  </si>
  <si>
    <t xml:space="preserve">FH 0603B472K101NT 100 V X7R</t>
  </si>
  <si>
    <t xml:space="preserve">0603B472J500NT (FH)</t>
  </si>
  <si>
    <t xml:space="preserve">C168956</t>
  </si>
  <si>
    <t xml:space="preserve">FH 0603B472J500NT 50 V X7R</t>
  </si>
  <si>
    <t xml:space="preserve">C81,C93</t>
  </si>
  <si>
    <t xml:space="preserve">220p C0G</t>
  </si>
  <si>
    <t xml:space="preserve">CC0402JRNPO9BN221</t>
  </si>
  <si>
    <t xml:space="preserve">C107001</t>
  </si>
  <si>
    <t xml:space="preserve">0402N221J500CT (Walsin)</t>
  </si>
  <si>
    <t xml:space="preserve">C301973</t>
  </si>
  <si>
    <t xml:space="preserve">Walsin 0402N221J500CT 220 pF NP0</t>
  </si>
  <si>
    <t xml:space="preserve">CC0402GRNPO9BN221 (YAGEO)</t>
  </si>
  <si>
    <t xml:space="preserve">C541425</t>
  </si>
  <si>
    <t xml:space="preserve">Yageo CC0402GRNPO9BN221 220 pF NP0</t>
  </si>
  <si>
    <t xml:space="preserve">C82</t>
  </si>
  <si>
    <t xml:space="preserve">47n C0G 25V</t>
  </si>
  <si>
    <t xml:space="preserve">C0805C473F3GECAUTO</t>
  </si>
  <si>
    <t xml:space="preserve">KEMET</t>
  </si>
  <si>
    <t xml:space="preserve">C0805C473K3GECTU (KEMET)</t>
  </si>
  <si>
    <t xml:space="preserve">C22409143</t>
  </si>
  <si>
    <t xml:space="preserve">KEMET C0805C473K3GECTU 47 nF C0G 10 % 25 V</t>
  </si>
  <si>
    <t xml:space="preserve">CL21B473KBCNNNC (Samsung Electro-Mechanics)</t>
  </si>
  <si>
    <t xml:space="preserve">C53134</t>
  </si>
  <si>
    <t xml:space="preserve">previous primary (low / no stock)</t>
  </si>
  <si>
    <t xml:space="preserve">C94</t>
  </si>
  <si>
    <t xml:space="preserve">4.7n 100V X7R</t>
  </si>
  <si>
    <t xml:space="preserve">CC0603KRX7R0BB472</t>
  </si>
  <si>
    <t xml:space="preserve">C115052</t>
  </si>
  <si>
    <t xml:space="preserve">0603B472K101CT (Walsin)</t>
  </si>
  <si>
    <t xml:space="preserve">C152940</t>
  </si>
  <si>
    <t xml:space="preserve">Walsin 0603B472K101CT 100 V X7R</t>
  </si>
  <si>
    <t xml:space="preserve">D1</t>
  </si>
  <si>
    <t xml:space="preserve">SMBJ51A</t>
  </si>
  <si>
    <t xml:space="preserve">D_SMB</t>
  </si>
  <si>
    <t xml:space="preserve">Standard (SMB)</t>
  </si>
  <si>
    <t xml:space="preserve">OTW</t>
  </si>
  <si>
    <t xml:space="preserve">C20883337</t>
  </si>
  <si>
    <t xml:space="preserve">SMBJ51A (Littelfuse)</t>
  </si>
  <si>
    <t xml:space="preserve">C1973217</t>
  </si>
  <si>
    <t xml:space="preserve">Littelfuse SMBJ51A</t>
  </si>
  <si>
    <t xml:space="preserve">SMBJ51A (RUILON)</t>
  </si>
  <si>
    <t xml:space="preserve">C10225</t>
  </si>
  <si>
    <t xml:space="preserve">RUILON SMBJ51A</t>
  </si>
  <si>
    <t xml:space="preserve">D2,D6,D8,D9</t>
  </si>
  <si>
    <t xml:space="preserve">SS110</t>
  </si>
  <si>
    <t xml:space="preserve">D_SMA</t>
  </si>
  <si>
    <t xml:space="preserve">Standard (SMA)</t>
  </si>
  <si>
    <t xml:space="preserve">MDD(Microdiode Semiconductor)</t>
  </si>
  <si>
    <t xml:space="preserve">STPS1H100A (ST)</t>
  </si>
  <si>
    <t xml:space="preserve">C165701</t>
  </si>
  <si>
    <t xml:space="preserve">ST STPS1H100A 100 V 1 A SMA (lower leakage)</t>
  </si>
  <si>
    <t xml:space="preserve">SS110 (Guangdong Hottech)</t>
  </si>
  <si>
    <t xml:space="preserve">C224219</t>
  </si>
  <si>
    <t xml:space="preserve">D3</t>
  </si>
  <si>
    <t xml:space="preserve">NUP2105LT1G</t>
  </si>
  <si>
    <t xml:space="preserve">C14486</t>
  </si>
  <si>
    <t xml:space="preserve">NUP2105LT1G (GOODWORK)</t>
  </si>
  <si>
    <t xml:space="preserve">C21713988</t>
  </si>
  <si>
    <t xml:space="preserve">GOODWORK NUP2105LT1G (same part no., same pinout 1=CAN 2=CAN 3=GND)</t>
  </si>
  <si>
    <t xml:space="preserve">NUP2105L (DOWO)</t>
  </si>
  <si>
    <t xml:space="preserve">C284104</t>
  </si>
  <si>
    <t xml:space="preserve">DOWO NUP2105L</t>
  </si>
  <si>
    <t xml:space="preserve">D4</t>
  </si>
  <si>
    <t xml:space="preserve">GREEN RUN</t>
  </si>
  <si>
    <t xml:space="preserve">LED_0603_1608Metric</t>
  </si>
  <si>
    <t xml:space="preserve">Standard (0603 LED)</t>
  </si>
  <si>
    <t xml:space="preserve">KT-0603G</t>
  </si>
  <si>
    <t xml:space="preserve">Hubei KENTO Elec</t>
  </si>
  <si>
    <t xml:space="preserve">C12624</t>
  </si>
  <si>
    <t xml:space="preserve">19-217/GHC-YR1S2/6T (EVERLIGHT)</t>
  </si>
  <si>
    <t xml:space="preserve">C2986059</t>
  </si>
  <si>
    <t xml:space="preserve">Everlight 19-217/GHC emerald green</t>
  </si>
  <si>
    <t xml:space="preserve">19-217/G7C-AN1P2/6T (EVERLIGHT)</t>
  </si>
  <si>
    <t xml:space="preserve">C2986030</t>
  </si>
  <si>
    <t xml:space="preserve">Everlight yellow-green, Vf 2.0 V (brighter at the same resistor)</t>
  </si>
  <si>
    <t xml:space="preserve">D5</t>
  </si>
  <si>
    <t xml:space="preserve">RED FAULT</t>
  </si>
  <si>
    <t xml:space="preserve">KT-0603R</t>
  </si>
  <si>
    <t xml:space="preserve">C2286</t>
  </si>
  <si>
    <t xml:space="preserve">19-217/R6C-AL1M2VY/6T (EVERLIGHT)</t>
  </si>
  <si>
    <t xml:space="preserve">C2986060</t>
  </si>
  <si>
    <t xml:space="preserve">Everlight 19-217/R6C red</t>
  </si>
  <si>
    <t xml:space="preserve">19-217/R6C-P1Q2/6T (EVERLIGHT)</t>
  </si>
  <si>
    <t xml:space="preserve">C2986061</t>
  </si>
  <si>
    <t xml:space="preserve">Everlight 19-217/R6C-P1Q2 red</t>
  </si>
  <si>
    <t xml:space="preserve">D7</t>
  </si>
  <si>
    <t xml:space="preserve">1N4148W</t>
  </si>
  <si>
    <t xml:space="preserve">D_SOD-123</t>
  </si>
  <si>
    <t xml:space="preserve">Standard (SOD-123)</t>
  </si>
  <si>
    <t xml:space="preserve">ST(Semtech)</t>
  </si>
  <si>
    <t xml:space="preserve">C81598</t>
  </si>
  <si>
    <t xml:space="preserve">1N4448W (ST(Semtech))</t>
  </si>
  <si>
    <t xml:space="preserve">C108428</t>
  </si>
  <si>
    <t xml:space="preserve">1N4448W 80 V SOD-123</t>
  </si>
  <si>
    <t xml:space="preserve">FB1</t>
  </si>
  <si>
    <t xml:space="preserve">BLM18KG601SN1D</t>
  </si>
  <si>
    <t xml:space="preserve">L_0603_1608Metric</t>
  </si>
  <si>
    <t xml:space="preserve">Standard (0603 bead)</t>
  </si>
  <si>
    <t xml:space="preserve">BLM18KG601SH1D (muRata)</t>
  </si>
  <si>
    <t xml:space="preserve">C710379</t>
  </si>
  <si>
    <t xml:space="preserve">Murata BLM18KG601SH1D 600R 1.3 A</t>
  </si>
  <si>
    <t xml:space="preserve">L2,L3</t>
  </si>
  <si>
    <t xml:space="preserve">FNR5040S470MT</t>
  </si>
  <si>
    <t xml:space="preserve">L_Sunlord_SWPA5040S</t>
  </si>
  <si>
    <t xml:space="preserve">De-facto standard (many makers) (5040 shielded)</t>
  </si>
  <si>
    <t xml:space="preserve">cjiang</t>
  </si>
  <si>
    <t xml:space="preserve">ANR5040T470M (APV)</t>
  </si>
  <si>
    <t xml:space="preserve">C7427133</t>
  </si>
  <si>
    <t xml:space="preserve">APV ANR5040T470M 47 uH 1.3 A sat - no datasheet on LCSC; 5040 body</t>
  </si>
  <si>
    <t xml:space="preserve">Q2,Q3,Q5,Q6</t>
  </si>
  <si>
    <t xml:space="preserve">NCEP068N10G</t>
  </si>
  <si>
    <t xml:space="preserve">NCE NCEP095N10AG 100 V 12 mOhm, Qg 54 nC</t>
  </si>
  <si>
    <t xml:space="preserve">NCEP0160AG (NCE)</t>
  </si>
  <si>
    <t xml:space="preserve">C503012</t>
  </si>
  <si>
    <t xml:space="preserve">Q7,Q8</t>
  </si>
  <si>
    <t xml:space="preserve">BSC160N15NS5</t>
  </si>
  <si>
    <t xml:space="preserve">Standard (DFN5x6 / SuperSO8)</t>
  </si>
  <si>
    <t xml:space="preserve">Infineon</t>
  </si>
  <si>
    <t xml:space="preserve">C459172</t>
  </si>
  <si>
    <t xml:space="preserve">SP015N13GHNK (Siliup)</t>
  </si>
  <si>
    <t xml:space="preserve">C22466810</t>
  </si>
  <si>
    <t xml:space="preserve">Siliup SP015N13GHNK 150 V 13 mOhm, Qg 30 nC (primary 19 nC) - fine for UCC27524</t>
  </si>
  <si>
    <t xml:space="preserve">LN7910DT1WG (LRC)</t>
  </si>
  <si>
    <t xml:space="preserve">C2936692</t>
  </si>
  <si>
    <t xml:space="preserve">LRC LN7910DT1WG 150 V 15 mOhm - Qg not readable in the datasheet text</t>
  </si>
  <si>
    <t xml:space="preserve">Q9</t>
  </si>
  <si>
    <t xml:space="preserve">MMBT3906</t>
  </si>
  <si>
    <t xml:space="preserve">MMBT3906LT1G</t>
  </si>
  <si>
    <t xml:space="preserve">C53444</t>
  </si>
  <si>
    <t xml:space="preserve">PMBT3906,215 (Nexperia)</t>
  </si>
  <si>
    <t xml:space="preserve">C8670</t>
  </si>
  <si>
    <t xml:space="preserve">Nexperia PMBT3906</t>
  </si>
  <si>
    <t xml:space="preserve">S-LMBT3906LT1G (LRC)</t>
  </si>
  <si>
    <t xml:space="preserve">C383300</t>
  </si>
  <si>
    <t xml:space="preserve">LRC S-LMBT3906LT1G</t>
  </si>
  <si>
    <t xml:space="preserve">Q10</t>
  </si>
  <si>
    <t xml:space="preserve">2N7002</t>
  </si>
  <si>
    <t xml:space="preserve">JSCJ</t>
  </si>
  <si>
    <t xml:space="preserve">C8545</t>
  </si>
  <si>
    <t xml:space="preserve">BSS123 (JSCJ)</t>
  </si>
  <si>
    <t xml:space="preserve">C79015</t>
  </si>
  <si>
    <t xml:space="preserve">JSCJ BSS123 100 V (G-S-D pinout)</t>
  </si>
  <si>
    <t xml:space="preserve">CJ2310 (JSCJ)</t>
  </si>
  <si>
    <t xml:space="preserve">C75882</t>
  </si>
  <si>
    <t xml:space="preserve">JSCJ CJ2310 60 V 3 A</t>
  </si>
  <si>
    <t xml:space="preserve">R1</t>
  </si>
  <si>
    <t xml:space="preserve">47k</t>
  </si>
  <si>
    <t xml:space="preserve">FRC1206J473 TS</t>
  </si>
  <si>
    <t xml:space="preserve">FOJAN</t>
  </si>
  <si>
    <t xml:space="preserve">C2907507</t>
  </si>
  <si>
    <t xml:space="preserve">RC1206FR-0747KL (YAGEO)</t>
  </si>
  <si>
    <t xml:space="preserve">C137270</t>
  </si>
  <si>
    <t xml:space="preserve">Yageo RC1206FR-0747KL 1 % (primary is 5 %)</t>
  </si>
  <si>
    <t xml:space="preserve">FRC1206F4702TS (FOJAN)</t>
  </si>
  <si>
    <t xml:space="preserve">C2933708</t>
  </si>
  <si>
    <t xml:space="preserve">FOJAN FRC1206F4702TS 1 %</t>
  </si>
  <si>
    <t xml:space="preserve">R4,R5,R10,R11,R68,R69</t>
  </si>
  <si>
    <t xml:space="preserve">4R7</t>
  </si>
  <si>
    <t xml:space="preserve">R_0603_1608Metric</t>
  </si>
  <si>
    <t xml:space="preserve">0603WAF470KT5E</t>
  </si>
  <si>
    <t xml:space="preserve">UNI-ROYAL</t>
  </si>
  <si>
    <t xml:space="preserve">C23164</t>
  </si>
  <si>
    <t xml:space="preserve">FRC0603F4R70TS (FOJAN)</t>
  </si>
  <si>
    <t xml:space="preserve">C2907035</t>
  </si>
  <si>
    <t xml:space="preserve">FOJAN FRC0603F4R70TS</t>
  </si>
  <si>
    <t xml:space="preserve">RC0603FR-074R7L (YAGEO)</t>
  </si>
  <si>
    <t xml:space="preserve">C137705</t>
  </si>
  <si>
    <t xml:space="preserve">Yageo RC0603FR-074R7L</t>
  </si>
  <si>
    <t xml:space="preserve">R6,R7,R8,R9,R12,R13,R14,R15,R20,R32,R33,R34,R35,R36,R37,R64,R65,R66,R67,R70,R71,R72,R73,R74,R79,R80,R83,R90,R91,R92,R93,R94,R95,R96,R97,R98,R99,R100,R101,R102,R103,R104,R105,R108,R113,R19,R29,R78,R87,R111,R120</t>
  </si>
  <si>
    <t xml:space="preserve">10k</t>
  </si>
  <si>
    <t xml:space="preserve">R_0402_1005Metric</t>
  </si>
  <si>
    <t xml:space="preserve">FRC0402F1002TS</t>
  </si>
  <si>
    <t xml:space="preserve">RC0402FR-0710KL (YAGEO)</t>
  </si>
  <si>
    <t xml:space="preserve">C60490</t>
  </si>
  <si>
    <t xml:space="preserve">Yageo RC0402FR-0710KL</t>
  </si>
  <si>
    <t xml:space="preserve">R16,R18,R86</t>
  </si>
  <si>
    <t xml:space="preserve">56k 1%</t>
  </si>
  <si>
    <t xml:space="preserve">0402WGF5602TCE</t>
  </si>
  <si>
    <t xml:space="preserve">C25796</t>
  </si>
  <si>
    <t xml:space="preserve">RC0402FR-0756KL (YAGEO)</t>
  </si>
  <si>
    <t xml:space="preserve">C114756</t>
  </si>
  <si>
    <t xml:space="preserve">Yageo RC0402FR-0756KL</t>
  </si>
  <si>
    <t xml:space="preserve">FRC0402F5602TS (FOJAN)</t>
  </si>
  <si>
    <t xml:space="preserve">C2906875</t>
  </si>
  <si>
    <t xml:space="preserve">FOJAN FRC0402F5602TS</t>
  </si>
  <si>
    <t xml:space="preserve">R17,R88</t>
  </si>
  <si>
    <t xml:space="preserve">15k 1%</t>
  </si>
  <si>
    <t xml:space="preserve">0402WGF1502TCE</t>
  </si>
  <si>
    <t xml:space="preserve">C25756</t>
  </si>
  <si>
    <t xml:space="preserve">RC0402FR-0715KL (YAGEO)</t>
  </si>
  <si>
    <t xml:space="preserve">C114761</t>
  </si>
  <si>
    <t xml:space="preserve">Yageo RC0402FR-0715KL</t>
  </si>
  <si>
    <t xml:space="preserve">FRC0402F1502TS (FOJAN)</t>
  </si>
  <si>
    <t xml:space="preserve">C2909322</t>
  </si>
  <si>
    <t xml:space="preserve">FOJAN FRC0402F1502TS</t>
  </si>
  <si>
    <t xml:space="preserve">R21,R23</t>
  </si>
  <si>
    <t xml:space="preserve">100k 0.1%</t>
  </si>
  <si>
    <t xml:space="preserve">RT0603BRD07100KL</t>
  </si>
  <si>
    <t xml:space="preserve">C122538</t>
  </si>
  <si>
    <t xml:space="preserve">TNPW0603100KBEEA (VISHAY)</t>
  </si>
  <si>
    <t xml:space="preserve">C844888</t>
  </si>
  <si>
    <t xml:space="preserve">Vishay TNPW0603100KBEEA 0.1 % 25 ppm</t>
  </si>
  <si>
    <t xml:space="preserve">ERA3AEB104V (PANASONIC)</t>
  </si>
  <si>
    <t xml:space="preserve">C190609</t>
  </si>
  <si>
    <t xml:space="preserve">Panasonic ERA3AEB104V 0.1 % 25 ppm</t>
  </si>
  <si>
    <t xml:space="preserve">R22,R24</t>
  </si>
  <si>
    <t xml:space="preserve">5.1k 0.1%</t>
  </si>
  <si>
    <t xml:space="preserve">RN73H1ETTP5101B25</t>
  </si>
  <si>
    <t xml:space="preserve">KOA</t>
  </si>
  <si>
    <t xml:space="preserve">C186154</t>
  </si>
  <si>
    <t xml:space="preserve">RT0402BRD075K1L (YAGEO)</t>
  </si>
  <si>
    <t xml:space="preserve">C852856</t>
  </si>
  <si>
    <t xml:space="preserve">Yageo RT0402BRD075K1L 0.1 % 25 ppm</t>
  </si>
  <si>
    <t xml:space="preserve">TNPW04025K10BEED (VISHAY)</t>
  </si>
  <si>
    <t xml:space="preserve">C2088796</t>
  </si>
  <si>
    <t xml:space="preserve">Vishay TNPW04025K10BEED</t>
  </si>
  <si>
    <t xml:space="preserve">R25,R26</t>
  </si>
  <si>
    <t xml:space="preserve">1k 0.1%</t>
  </si>
  <si>
    <t xml:space="preserve">RN73H1ETTP1001B25</t>
  </si>
  <si>
    <t xml:space="preserve">C186137</t>
  </si>
  <si>
    <t xml:space="preserve">RT0402BRD071KL (YAGEO)</t>
  </si>
  <si>
    <t xml:space="preserve">C852624</t>
  </si>
  <si>
    <t xml:space="preserve">Yageo RT0402BRD071KL 0.1 % 25 ppm</t>
  </si>
  <si>
    <t xml:space="preserve">ARG02BTC1001 (Viking)</t>
  </si>
  <si>
    <t xml:space="preserve">C2984405</t>
  </si>
  <si>
    <t xml:space="preserve">Viking ARG02BTC1001</t>
  </si>
  <si>
    <t xml:space="preserve">R27</t>
  </si>
  <si>
    <t xml:space="preserve">100R</t>
  </si>
  <si>
    <t xml:space="preserve">0402WGF1000TCE</t>
  </si>
  <si>
    <t xml:space="preserve">C25076</t>
  </si>
  <si>
    <t xml:space="preserve">RC0402FR-07100RL (YAGEO)</t>
  </si>
  <si>
    <t xml:space="preserve">C106232</t>
  </si>
  <si>
    <t xml:space="preserve">Yageo RC0402FR-07100RL</t>
  </si>
  <si>
    <t xml:space="preserve">FRC0402F1000TS (FOJAN)</t>
  </si>
  <si>
    <t xml:space="preserve">C2906860</t>
  </si>
  <si>
    <t xml:space="preserve">FOJAN FRC0402F1000TS</t>
  </si>
  <si>
    <t xml:space="preserve">R28,R38,R39,R40,R41,R42,R43,R44,R45,R85,R106,R109,R115,R118</t>
  </si>
  <si>
    <t xml:space="preserve">1k</t>
  </si>
  <si>
    <t xml:space="preserve">0402WGF1001TCE</t>
  </si>
  <si>
    <t xml:space="preserve">C11702</t>
  </si>
  <si>
    <t xml:space="preserve">FRC0402F1001TS (FOJAN)</t>
  </si>
  <si>
    <t xml:space="preserve">C2906864</t>
  </si>
  <si>
    <t xml:space="preserve">FOJAN FRC0402F1001TS</t>
  </si>
  <si>
    <t xml:space="preserve">RC0402FR-071KL (YAGEO)</t>
  </si>
  <si>
    <t xml:space="preserve">C106235</t>
  </si>
  <si>
    <t xml:space="preserve">Yageo RC0402FR-071KL</t>
  </si>
  <si>
    <t xml:space="preserve">R30,R31</t>
  </si>
  <si>
    <t xml:space="preserve">60.4R</t>
  </si>
  <si>
    <t xml:space="preserve">FRC0603F60R4TS</t>
  </si>
  <si>
    <t xml:space="preserve">C2933247</t>
  </si>
  <si>
    <t xml:space="preserve">423 k pcs; Yageo 60.4R 2nd; no 3rd in stock.</t>
  </si>
  <si>
    <t xml:space="preserve">RC0603FR-0760R4L (YAGEO)</t>
  </si>
  <si>
    <t xml:space="preserve">C245987</t>
  </si>
  <si>
    <t xml:space="preserve">Yageo RC0603FR-0760R4L</t>
  </si>
  <si>
    <t xml:space="preserve">R62,R63</t>
  </si>
  <si>
    <t xml:space="preserve">2R2</t>
  </si>
  <si>
    <t xml:space="preserve">FRC0603F2R20TS</t>
  </si>
  <si>
    <t xml:space="preserve">RC0603FR-072R2L (YAGEO)</t>
  </si>
  <si>
    <t xml:space="preserve">C112307</t>
  </si>
  <si>
    <t xml:space="preserve">Yageo RC0603FR-072R2L</t>
  </si>
  <si>
    <t xml:space="preserve">R75</t>
  </si>
  <si>
    <t xml:space="preserve">470k</t>
  </si>
  <si>
    <t xml:space="preserve">0603WAF4703T5E</t>
  </si>
  <si>
    <t xml:space="preserve">C23178</t>
  </si>
  <si>
    <t xml:space="preserve">RC0603FR-07470KL (YAGEO)</t>
  </si>
  <si>
    <t xml:space="preserve">C114622</t>
  </si>
  <si>
    <t xml:space="preserve">Yageo RC0603FR-07470KL</t>
  </si>
  <si>
    <t xml:space="preserve">FRC0603F4703TS (FOJAN)</t>
  </si>
  <si>
    <t xml:space="preserve">C2907040</t>
  </si>
  <si>
    <t xml:space="preserve">FOJAN FRC0603F4703TS</t>
  </si>
  <si>
    <t xml:space="preserve">R76</t>
  </si>
  <si>
    <t xml:space="preserve">68k</t>
  </si>
  <si>
    <t xml:space="preserve">0402WGF6802TCE</t>
  </si>
  <si>
    <t xml:space="preserve">C36871</t>
  </si>
  <si>
    <t xml:space="preserve">RC0402FR-0768KL (YAGEO)</t>
  </si>
  <si>
    <t xml:space="preserve">C137947</t>
  </si>
  <si>
    <t xml:space="preserve">Yageo RC0402FR-0768KL</t>
  </si>
  <si>
    <t xml:space="preserve">FRC0402F6802TS (FOJAN)</t>
  </si>
  <si>
    <t xml:space="preserve">C2909379</t>
  </si>
  <si>
    <t xml:space="preserve">FOJAN FRC0402F6802TS</t>
  </si>
  <si>
    <t xml:space="preserve">R77</t>
  </si>
  <si>
    <t xml:space="preserve">120k 1%</t>
  </si>
  <si>
    <t xml:space="preserve">0402WGF1203TCE</t>
  </si>
  <si>
    <t xml:space="preserve">C25750</t>
  </si>
  <si>
    <t xml:space="preserve">RC0402FR-07120KL (YAGEO)</t>
  </si>
  <si>
    <t xml:space="preserve">C93945</t>
  </si>
  <si>
    <t xml:space="preserve">Yageo RC0402FR-07120KL</t>
  </si>
  <si>
    <t xml:space="preserve">FRC0402F1203TS (FOJAN)</t>
  </si>
  <si>
    <t xml:space="preserve">C2909314</t>
  </si>
  <si>
    <t xml:space="preserve">FOJAN FRC0402F1203TS</t>
  </si>
  <si>
    <t xml:space="preserve">R82</t>
  </si>
  <si>
    <t xml:space="preserve">10k 0.1%</t>
  </si>
  <si>
    <t xml:space="preserve">TNPW040210K0BEED</t>
  </si>
  <si>
    <t xml:space="preserve">VISHAY</t>
  </si>
  <si>
    <t xml:space="preserve">TC02G1002BT (FH)</t>
  </si>
  <si>
    <t xml:space="preserve">C2961361</t>
  </si>
  <si>
    <t xml:space="preserve">FH TC02G1002BT 0.1 % 25 ppm</t>
  </si>
  <si>
    <t xml:space="preserve">R84</t>
  </si>
  <si>
    <t xml:space="preserve">2.2M</t>
  </si>
  <si>
    <t xml:space="preserve">0402WGF2204TCE</t>
  </si>
  <si>
    <t xml:space="preserve">C11490</t>
  </si>
  <si>
    <t xml:space="preserve">RC0402FR-072M2L (YAGEO)</t>
  </si>
  <si>
    <t xml:space="preserve">C138015</t>
  </si>
  <si>
    <t xml:space="preserve">Yageo RC0402FR-072M2L</t>
  </si>
  <si>
    <t xml:space="preserve">FRC0402F2204TS (FOJAN)</t>
  </si>
  <si>
    <t xml:space="preserve">C2998080</t>
  </si>
  <si>
    <t xml:space="preserve">FOJAN FRC0402F2204TS</t>
  </si>
  <si>
    <t xml:space="preserve">R89</t>
  </si>
  <si>
    <t xml:space="preserve">22R</t>
  </si>
  <si>
    <t xml:space="preserve">FRC0402F22R0TS</t>
  </si>
  <si>
    <t xml:space="preserve">RC0402FR-0722RL (YAGEO)</t>
  </si>
  <si>
    <t xml:space="preserve">C114765</t>
  </si>
  <si>
    <t xml:space="preserve">Yageo RC0402FR-0722RL</t>
  </si>
  <si>
    <t xml:space="preserve">R107</t>
  </si>
  <si>
    <t xml:space="preserve">100k</t>
  </si>
  <si>
    <t xml:space="preserve">0402WGF1003TCE</t>
  </si>
  <si>
    <t xml:space="preserve">C25741</t>
  </si>
  <si>
    <t xml:space="preserve">RC0402FR-07100KL (YAGEO)</t>
  </si>
  <si>
    <t xml:space="preserve">C60491</t>
  </si>
  <si>
    <t xml:space="preserve">Yageo RC0402FR-07100KL</t>
  </si>
  <si>
    <t xml:space="preserve">FRC0402F1003TS (FOJAN)</t>
  </si>
  <si>
    <t xml:space="preserve">C2906859</t>
  </si>
  <si>
    <t xml:space="preserve">FOJAN FRC0402F1003TS</t>
  </si>
  <si>
    <t xml:space="preserve">R110</t>
  </si>
  <si>
    <t xml:space="preserve">4.7M</t>
  </si>
  <si>
    <t xml:space="preserve">AC0402FR-074M7L</t>
  </si>
  <si>
    <t xml:space="preserve">C227116</t>
  </si>
  <si>
    <t xml:space="preserve">FRC0402F4704TS (FOJAN)</t>
  </si>
  <si>
    <t xml:space="preserve">C3013173</t>
  </si>
  <si>
    <t xml:space="preserve">FOJAN FRC0402F4704TS</t>
  </si>
  <si>
    <t xml:space="preserve">RC0402FR-074M7L (YAGEO)</t>
  </si>
  <si>
    <t xml:space="preserve">C354978</t>
  </si>
  <si>
    <t xml:space="preserve">Yageo RC0402FR-074M7L</t>
  </si>
  <si>
    <t xml:space="preserve">R112</t>
  </si>
  <si>
    <t xml:space="preserve">10R</t>
  </si>
  <si>
    <t xml:space="preserve">0603WAF100JT5E</t>
  </si>
  <si>
    <t xml:space="preserve">C22859</t>
  </si>
  <si>
    <t xml:space="preserve">RC0603FR-0710RL (YAGEO)</t>
  </si>
  <si>
    <t xml:space="preserve">C109318</t>
  </si>
  <si>
    <t xml:space="preserve">Yageo RC0603FR-0710RL</t>
  </si>
  <si>
    <t xml:space="preserve">FRC0603F10R0TS (FOJAN)</t>
  </si>
  <si>
    <t xml:space="preserve">C2906983</t>
  </si>
  <si>
    <t xml:space="preserve">FOJAN FRC0603F10R0TS</t>
  </si>
  <si>
    <t xml:space="preserve">R114</t>
  </si>
  <si>
    <t xml:space="preserve">0R5 1%</t>
  </si>
  <si>
    <t xml:space="preserve">1206W4F500LT5E</t>
  </si>
  <si>
    <t xml:space="preserve">C25340</t>
  </si>
  <si>
    <t xml:space="preserve">RL1206FR-070R5L (YAGEO)</t>
  </si>
  <si>
    <t xml:space="preserve">C327075</t>
  </si>
  <si>
    <t xml:space="preserve">Yageo RL1206FR-070R5L</t>
  </si>
  <si>
    <t xml:space="preserve">HP06W2F500LT5E (UNI-ROYAL)</t>
  </si>
  <si>
    <t xml:space="preserve">C2759131</t>
  </si>
  <si>
    <t xml:space="preserve">UNI-ROYAL HP06W2F500LT5E 0.5 W</t>
  </si>
  <si>
    <t xml:space="preserve">R116</t>
  </si>
  <si>
    <t xml:space="preserve">4k7</t>
  </si>
  <si>
    <t xml:space="preserve">1206W4F4701T5E</t>
  </si>
  <si>
    <t xml:space="preserve">C17936</t>
  </si>
  <si>
    <t xml:space="preserve">RC1206FR-074K7L (YAGEO)</t>
  </si>
  <si>
    <t xml:space="preserve">C137262</t>
  </si>
  <si>
    <t xml:space="preserve">Yageo RC1206FR-074K7L</t>
  </si>
  <si>
    <t xml:space="preserve">NQ06W4F4701T5E (UNI-ROYAL)</t>
  </si>
  <si>
    <t xml:space="preserve">C965034</t>
  </si>
  <si>
    <t xml:space="preserve">UNI-ROYAL NQ06W4F4701T5E</t>
  </si>
  <si>
    <t xml:space="preserve">R117</t>
  </si>
  <si>
    <t xml:space="preserve">1k5</t>
  </si>
  <si>
    <t xml:space="preserve">0402WGF1501TCE</t>
  </si>
  <si>
    <t xml:space="preserve">C25867</t>
  </si>
  <si>
    <t xml:space="preserve">RC0402FR-071K5L (YAGEO)</t>
  </si>
  <si>
    <t xml:space="preserve">C114759</t>
  </si>
  <si>
    <t xml:space="preserve">Yageo RC0402FR-071K5L</t>
  </si>
  <si>
    <t xml:space="preserve">FRC0402F1501TS (FOJAN)</t>
  </si>
  <si>
    <t xml:space="preserve">C2933074</t>
  </si>
  <si>
    <t xml:space="preserve">FOJAN FRC0402F1501TS</t>
  </si>
  <si>
    <t xml:space="preserve">R119</t>
  </si>
  <si>
    <t xml:space="preserve">30k 1%</t>
  </si>
  <si>
    <t xml:space="preserve">0402WGF3002TCE</t>
  </si>
  <si>
    <t xml:space="preserve">C25776</t>
  </si>
  <si>
    <t xml:space="preserve">RC0402FR-0730KL (YAGEO)</t>
  </si>
  <si>
    <t xml:space="preserve">C138008</t>
  </si>
  <si>
    <t xml:space="preserve">Yageo RC0402FR-0730KL</t>
  </si>
  <si>
    <t xml:space="preserve">FRC0402F3002TS (FOJAN)</t>
  </si>
  <si>
    <t xml:space="preserve">C2909347</t>
  </si>
  <si>
    <t xml:space="preserve">FOJAN FRC0402F3002TS</t>
  </si>
  <si>
    <t xml:space="preserve">R121</t>
  </si>
  <si>
    <t xml:space="preserve">0402WGF4701TCE</t>
  </si>
  <si>
    <t xml:space="preserve">C25900</t>
  </si>
  <si>
    <t xml:space="preserve">RC0402FR-074K7L (YAGEO)</t>
  </si>
  <si>
    <t xml:space="preserve">C105871</t>
  </si>
  <si>
    <t xml:space="preserve">Yageo RC0402FR-074K7L</t>
  </si>
  <si>
    <t xml:space="preserve">CQ02WGF4701TCE (UNI-ROYAL)</t>
  </si>
  <si>
    <t xml:space="preserve">C2765614</t>
  </si>
  <si>
    <t xml:space="preserve">UNI-ROYAL CQ02WGF4701TCE</t>
  </si>
  <si>
    <t xml:space="preserve">RS1</t>
  </si>
  <si>
    <t xml:space="preserve">HoJLR2512-3W-4mR-1%</t>
  </si>
  <si>
    <t xml:space="preserve">R_2512_6332Metric</t>
  </si>
  <si>
    <t xml:space="preserve">Standard (2512)</t>
  </si>
  <si>
    <t xml:space="preserve">Milliohm</t>
  </si>
  <si>
    <t xml:space="preserve">HoLR2512-3W-4mR-1%-15ppm (Milliohm)</t>
  </si>
  <si>
    <t xml:space="preserve">C2908366</t>
  </si>
  <si>
    <t xml:space="preserve">Milliohm HoLR2512-3W-4mR-1%-15ppm</t>
  </si>
  <si>
    <t xml:space="preserve">LR2512D-3W-4mR-1% (Milliohm)</t>
  </si>
  <si>
    <t xml:space="preserve">C500738</t>
  </si>
  <si>
    <t xml:space="preserve">RSH1</t>
  </si>
  <si>
    <t xml:space="preserve">10m 1% 1W</t>
  </si>
  <si>
    <t xml:space="preserve">GX2512-2W-10mR-1%</t>
  </si>
  <si>
    <t xml:space="preserve">C500718</t>
  </si>
  <si>
    <t xml:space="preserve">HoYLR2512-3W-10mR-1% (Milliohm)</t>
  </si>
  <si>
    <t xml:space="preserve">C5375464</t>
  </si>
  <si>
    <t xml:space="preserve">Milliohm HoYLR2512-3W-10mR-1%</t>
  </si>
  <si>
    <t xml:space="preserve">HoLLR2512-3W-10mR-1% (Milliohm)</t>
  </si>
  <si>
    <t xml:space="preserve">C2994644</t>
  </si>
  <si>
    <t xml:space="preserve">Milliohm HoLLR2512-3W-10mR-1%</t>
  </si>
  <si>
    <t xml:space="preserve">SW1</t>
  </si>
  <si>
    <t xml:space="preserve">DIP-6</t>
  </si>
  <si>
    <t xml:space="preserve">SW_DIP_SPSTx06_Slide_6.7x16.8mm_W8.61mm_P2.54mm_LowProfile</t>
  </si>
  <si>
    <t xml:space="preserve">De-facto standard (many makers) (2.54 mm SMD DIP)</t>
  </si>
  <si>
    <t xml:space="preserve">2.54-6P TPGT</t>
  </si>
  <si>
    <t xml:space="preserve">SHOU HAN</t>
  </si>
  <si>
    <t xml:space="preserve">C6331172</t>
  </si>
  <si>
    <t xml:space="preserve">11,262 pcs; HX TPGT clone (2,002 pcs) is the same body.</t>
  </si>
  <si>
    <t xml:space="preserve">HX 2.54-6P TPGT (hanxia)</t>
  </si>
  <si>
    <t xml:space="preserve">C19189100</t>
  </si>
  <si>
    <t xml:space="preserve">hanxia HX 2.54-6P TPGT (same 6.15x15.24 TPGT body; primary land 1.1 x 2.2 mm, rows 6.6 / 11 mm = footprint)</t>
  </si>
  <si>
    <t xml:space="preserve">DM-06-V-T/R (Diptronics)</t>
  </si>
  <si>
    <t xml:space="preserve">C225006</t>
  </si>
  <si>
    <t xml:space="preserve">Diptronics DM-06-V-T/R 6-pos 2.54 SMD - confirm row spacing vs footprint</t>
  </si>
  <si>
    <t xml:space="preserve">TH1</t>
  </si>
  <si>
    <t xml:space="preserve">10k B3950</t>
  </si>
  <si>
    <t xml:space="preserve">KNTC0603/10KF3950</t>
  </si>
  <si>
    <t xml:space="preserve">KUU</t>
  </si>
  <si>
    <t xml:space="preserve">C2892547</t>
  </si>
  <si>
    <t xml:space="preserve">HNTC0603-103F3950FB (R+O)</t>
  </si>
  <si>
    <t xml:space="preserve">C49247666</t>
  </si>
  <si>
    <t xml:space="preserve">R+O HNTC0603-103F3950FB 10k 1 % B25/50 3950</t>
  </si>
  <si>
    <t xml:space="preserve">ANTC1608-103F3950FB (APV)</t>
  </si>
  <si>
    <t xml:space="preserve">C52155406</t>
  </si>
  <si>
    <t xml:space="preserve">APV ANTC1608-103F3950FB 10k 1 % B3950</t>
  </si>
  <si>
    <t xml:space="preserve">U4,U13</t>
  </si>
  <si>
    <t xml:space="preserve">LMR16006XDDCR</t>
  </si>
  <si>
    <t xml:space="preserve">SOT-23-6</t>
  </si>
  <si>
    <t xml:space="preserve">Standard (SOT-23-6)</t>
  </si>
  <si>
    <t xml:space="preserve">C87080</t>
  </si>
  <si>
    <t xml:space="preserve">LV2862XLVDDCR (TI)</t>
  </si>
  <si>
    <t xml:space="preserve">C3200285</t>
  </si>
  <si>
    <t xml:space="preserve">TI LV2862XLVDDCR: same pinout (CB GND FB EN VIN SW), 0.765 V FB, 60 V, 770 kHz; EN threshold 1.25 V -&gt; U13 UVLO ~10 V instead of ~12 V</t>
  </si>
  <si>
    <t xml:space="preserve">LMR16006YDDCR (TI)</t>
  </si>
  <si>
    <t xml:space="preserve">C290195</t>
  </si>
  <si>
    <t xml:space="preserve">TI LMR16006YDDCR 2.1 MHz: same pinout; 47 uH fine; U13 at 48 V runs near min on-time</t>
  </si>
  <si>
    <t xml:space="preserve">U5</t>
  </si>
  <si>
    <t xml:space="preserve">TLV75533PDBVR</t>
  </si>
  <si>
    <t xml:space="preserve">SOT-23-5</t>
  </si>
  <si>
    <t xml:space="preserve">Standard (SOT-23-5)</t>
  </si>
  <si>
    <t xml:space="preserve">C404027</t>
  </si>
  <si>
    <t xml:space="preserve">TLV75733PDBVR (TI)</t>
  </si>
  <si>
    <t xml:space="preserve">C485517</t>
  </si>
  <si>
    <t xml:space="preserve">TI TLV75733PDBVR (1 A, same pinout)</t>
  </si>
  <si>
    <t xml:space="preserve">RT9013-33GB (RICHTEK)</t>
  </si>
  <si>
    <t xml:space="preserve">C47773</t>
  </si>
  <si>
    <t xml:space="preserve">Richtek RT9013-33GB: VIN GND EN NC VOUT = same, 5.5 V max (input is +5V)</t>
  </si>
  <si>
    <t xml:space="preserve">U7</t>
  </si>
  <si>
    <t xml:space="preserve">INA181A1IDBVR</t>
  </si>
  <si>
    <t xml:space="preserve">C2058943</t>
  </si>
  <si>
    <t xml:space="preserve">INA181A1IDBVT (TI)</t>
  </si>
  <si>
    <t xml:space="preserve">C2861997</t>
  </si>
  <si>
    <t xml:space="preserve">TI INA181A1IDBVT (same part, small reel)</t>
  </si>
  <si>
    <t xml:space="preserve">INA181A1IDBVR(XBLW) (XBLW)</t>
  </si>
  <si>
    <t xml:space="preserve">C45351496</t>
  </si>
  <si>
    <t xml:space="preserve">XBLW INA181A1IDBVR clone - confirm gain error</t>
  </si>
  <si>
    <t xml:space="preserve">U8</t>
  </si>
  <si>
    <t xml:space="preserve">INA181A2IDBVR</t>
  </si>
  <si>
    <t xml:space="preserve">C2058784</t>
  </si>
  <si>
    <t xml:space="preserve">INA181A2IDBVT (TI)</t>
  </si>
  <si>
    <t xml:space="preserve">C116200</t>
  </si>
  <si>
    <t xml:space="preserve">TI INA181A2IDBVT (same part, small reel)</t>
  </si>
  <si>
    <t xml:space="preserve">INA181A2IDBVR(LX) (lingxingic)</t>
  </si>
  <si>
    <t xml:space="preserve">C53198613</t>
  </si>
  <si>
    <t xml:space="preserve">lingxingic INA181A2 clone - confirm gain error</t>
  </si>
  <si>
    <t xml:space="preserve">U11</t>
  </si>
  <si>
    <t xml:space="preserve">UCC27524DR</t>
  </si>
  <si>
    <t xml:space="preserve">SOIC-8_3.9x4.9mm_P1.27mm</t>
  </si>
  <si>
    <t xml:space="preserve">Standard (SOIC-8)</t>
  </si>
  <si>
    <t xml:space="preserve">C465729</t>
  </si>
  <si>
    <t xml:space="preserve">UCC27524ADR (TI)</t>
  </si>
  <si>
    <t xml:space="preserve">C185857</t>
  </si>
  <si>
    <t xml:space="preserve">TI UCC27524ADR (same pinout ENA INA GND INB OUTB VDD OUTA ENB)</t>
  </si>
  <si>
    <t xml:space="preserve">UCC27524DR(UMW) (UMW)</t>
  </si>
  <si>
    <t xml:space="preserve">C20623206</t>
  </si>
  <si>
    <t xml:space="preserve">UMW UCC27524DR - datasheet states pin-to-pin with 27524</t>
  </si>
  <si>
    <t xml:space="preserve">U14</t>
  </si>
  <si>
    <t xml:space="preserve">AMS1117-5.0</t>
  </si>
  <si>
    <t xml:space="preserve">SOT-223-3_TabPin2</t>
  </si>
  <si>
    <t xml:space="preserve">Standard (SOT-223)</t>
  </si>
  <si>
    <t xml:space="preserve">Advanced Monolithic Systems</t>
  </si>
  <si>
    <t xml:space="preserve">C6187</t>
  </si>
  <si>
    <t xml:space="preserve">AMS1117-5.0 (GOODWORK)</t>
  </si>
  <si>
    <t xml:space="preserve">C6068482</t>
  </si>
  <si>
    <t xml:space="preserve">GOODWORK AMS1117-5.0 (same part no.)</t>
  </si>
  <si>
    <t xml:space="preserve">LD1117-5.0 (UMW)</t>
  </si>
  <si>
    <t xml:space="preserve">C347230</t>
  </si>
  <si>
    <t xml:space="preserve">UMW LD1117-5.0 (GND OUT IN, 15 V max; input +10V_P)</t>
  </si>
  <si>
    <t xml:space="preserve">U15,U17,U18</t>
  </si>
  <si>
    <t xml:space="preserve">LMV331IDBVR</t>
  </si>
  <si>
    <t xml:space="preserve">C34731</t>
  </si>
  <si>
    <t xml:space="preserve">LMV331X-S5TR (3PEAK)</t>
  </si>
  <si>
    <t xml:space="preserve">C38943276</t>
  </si>
  <si>
    <t xml:space="preserve">3PEAK LMV331X-S5TR: open-drain, pinout +IN -VS -IN OUT +VS = TI DBV, 35.9 k pcs</t>
  </si>
  <si>
    <t xml:space="preserve">LMV331ILT (ST)</t>
  </si>
  <si>
    <t xml:space="preserve">C672259</t>
  </si>
  <si>
    <t xml:space="preserve">ST LMV331ILT: open-drain, same SOT23-5 pinout</t>
  </si>
  <si>
    <t xml:space="preserve">U16,U22</t>
  </si>
  <si>
    <t xml:space="preserve">TL431AIDBZR</t>
  </si>
  <si>
    <t xml:space="preserve">C23892</t>
  </si>
  <si>
    <t xml:space="preserve">TL431AIDBZR(UMW) (UMW)</t>
  </si>
  <si>
    <t xml:space="preserve">C29780634</t>
  </si>
  <si>
    <t xml:space="preserve">UMW TL431AIDBZR: 1=K 2=REF 3=A = TI DBZ (U22 needs this pinout)</t>
  </si>
  <si>
    <t xml:space="preserve">TL431AIDBZR,215 (Nexperia)</t>
  </si>
  <si>
    <t xml:space="preserve">C79737</t>
  </si>
  <si>
    <t xml:space="preserve">Nexperia TL431AIDBZR,215 'normal pinning' 1=K 2=REF 3=A (not the MFDT mirrored type)</t>
  </si>
  <si>
    <t xml:space="preserve">U20</t>
  </si>
  <si>
    <t xml:space="preserve">UC3843BVD1R2G</t>
  </si>
  <si>
    <t xml:space="preserve">C231572</t>
  </si>
  <si>
    <t xml:space="preserve">UC2843BD1R2G (onsemi)</t>
  </si>
  <si>
    <t xml:space="preserve">C59197</t>
  </si>
  <si>
    <t xml:space="preserve">onsemi UC2843BD1R2G (same die, -25..85 C)</t>
  </si>
  <si>
    <t xml:space="preserve">UC3843D8TR (TI)</t>
  </si>
  <si>
    <t xml:space="preserve">C702405</t>
  </si>
  <si>
    <t xml:space="preserve">TI UC3843D8TR (same 8-pin pinout, 0..70 C)</t>
  </si>
  <si>
    <t xml:space="preserve">U21</t>
  </si>
  <si>
    <t xml:space="preserve">EL357N(B)(TA)-G</t>
  </si>
  <si>
    <t xml:space="preserve">SOP-4_3.8x4.1mm_P2.54mm</t>
  </si>
  <si>
    <t xml:space="preserve">Standard (SOP-4 2.54)</t>
  </si>
  <si>
    <t xml:space="preserve">EVERLIGHT</t>
  </si>
  <si>
    <t xml:space="preserve">C42381015</t>
  </si>
  <si>
    <t xml:space="preserve">LTV-357T-B (LITEON)</t>
  </si>
  <si>
    <t xml:space="preserve">C33068</t>
  </si>
  <si>
    <t xml:space="preserve">LITEON LTV-357T-B (CTR 130-260 %, same pinout)</t>
  </si>
  <si>
    <t xml:space="preserve">EL357B (GOODWORK)</t>
  </si>
  <si>
    <t xml:space="preserve">C17702877</t>
  </si>
  <si>
    <t xml:space="preserve">GOODWORK EL357B (CTR B)</t>
  </si>
  <si>
    <t xml:space="preserve">Y1</t>
  </si>
  <si>
    <t xml:space="preserve">X322516MLB4SI</t>
  </si>
  <si>
    <t xml:space="preserve">Crystal_SMD_3225-4Pin_3.2x2.5mm</t>
  </si>
  <si>
    <t xml:space="preserve">Standard (3225 4-pad)</t>
  </si>
  <si>
    <t xml:space="preserve">YXC Crystal Oscillators</t>
  </si>
  <si>
    <t xml:space="preserve">C13738</t>
  </si>
  <si>
    <t xml:space="preserve">XL2LI-111-16M (YXC Crystal Oscillators)</t>
  </si>
  <si>
    <t xml:space="preserve">C18207610</t>
  </si>
  <si>
    <t xml:space="preserve">YXC XL2LI-111-16M 16 MHz 9 pF 50 ohm</t>
  </si>
  <si>
    <t xml:space="preserve">XL2EL89CLI-111YLC-16M (YXC Crystal Oscillators)</t>
  </si>
  <si>
    <t xml:space="preserve">C5444547</t>
  </si>
  <si>
    <t xml:space="preserve">YXC XL2EL89CLI-111YLC-16M 16 MHz 9 pF</t>
  </si>
  <si>
    <t xml:space="preserve">J1,J2</t>
  </si>
  <si>
    <t xml:space="preserve">KF2EDGR-5.08-2P (hand-soldered)</t>
  </si>
  <si>
    <t xml:space="preserve">PhoenixContact_MSTBA_2,5_2-G-5,08</t>
  </si>
  <si>
    <t xml:space="preserve">De-facto standard (many makers) (5.08 pluggable header)</t>
  </si>
  <si>
    <t xml:space="preserve">KF2EDGR-5.08-2P</t>
  </si>
  <si>
    <t xml:space="preserve">Cixi Kefa Elec</t>
  </si>
  <si>
    <t xml:space="preserve">C441204</t>
  </si>
  <si>
    <t xml:space="preserve">2EDGR-5.08-02P-14-100A(H) (DEGSON)</t>
  </si>
  <si>
    <t xml:space="preserve">C699495</t>
  </si>
  <si>
    <t xml:space="preserve">DEGSON 2EDGR-5.08-02P: same 5.08 mm 2-pin right-angle header</t>
  </si>
  <si>
    <t xml:space="preserve">Mating plug: Kefa KF2EDGK-5.08-2P-AA (C440880), 2 per board</t>
  </si>
  <si>
    <t xml:space="preserve">J3,J4</t>
  </si>
  <si>
    <t xml:space="preserve">PZ254V-11-03P-A40 (hand-soldered)</t>
  </si>
  <si>
    <t xml:space="preserve">PinHeader_1x03_P2.54mm_Vertical</t>
  </si>
  <si>
    <t xml:space="preserve">Standard (2.54 header)</t>
  </si>
  <si>
    <t xml:space="preserve">PZ254V-11-03P-A40</t>
  </si>
  <si>
    <t xml:space="preserve">XFCN</t>
  </si>
  <si>
    <t xml:space="preserve">C42419910</t>
  </si>
  <si>
    <t xml:space="preserve">XY-PZ254V-11-03P (XYECONN)</t>
  </si>
  <si>
    <t xml:space="preserve">C53200685</t>
  </si>
  <si>
    <t xml:space="preserve">XYECONN XY-PZ254V-11-03P</t>
  </si>
  <si>
    <t xml:space="preserve">PZ254V-11-03P-RD (XFCN)</t>
  </si>
  <si>
    <t xml:space="preserve">C41425293</t>
  </si>
  <si>
    <t xml:space="preserve">XFCN PZ254V-11-03P-RD (red)</t>
  </si>
  <si>
    <t xml:space="preserve">J5</t>
  </si>
  <si>
    <t xml:space="preserve">PZ254V-11-06P-A40 (hand-soldered)</t>
  </si>
  <si>
    <t xml:space="preserve">PinHeader_1x06_P2.54mm_Vertical</t>
  </si>
  <si>
    <t xml:space="preserve">PZ254V-11-06P-A40</t>
  </si>
  <si>
    <t xml:space="preserve">C42419913</t>
  </si>
  <si>
    <t xml:space="preserve">XY-PZ254V-11-06P (XYECONN)</t>
  </si>
  <si>
    <t xml:space="preserve">C53200691</t>
  </si>
  <si>
    <t xml:space="preserve">XYECONN XY-PZ254V-11-06P</t>
  </si>
  <si>
    <t xml:space="preserve">PZ254V-11-06P-RD (XFCN)</t>
  </si>
  <si>
    <t xml:space="preserve">C41425296</t>
  </si>
  <si>
    <t xml:space="preserve">XFCN PZ254V-11-06P-RD (red)</t>
  </si>
  <si>
    <t xml:space="preserve">JP1</t>
  </si>
  <si>
    <t xml:space="preserve">PZ254V-12-04P-A40 (hand-soldered)</t>
  </si>
  <si>
    <t xml:space="preserve">PinHeader_2x02_P2.54mm_Vertical</t>
  </si>
  <si>
    <t xml:space="preserve">PZ254V-12-04P-A40</t>
  </si>
  <si>
    <t xml:space="preserve">C45384660</t>
  </si>
  <si>
    <t xml:space="preserve">PZ254V-12-04P-T (XFCN)</t>
  </si>
  <si>
    <t xml:space="preserve">C56153598</t>
  </si>
  <si>
    <t xml:space="preserve">XFCN PZ254V-12-04P-T</t>
  </si>
  <si>
    <t xml:space="preserve">PZ254V-12-04P-YL (XFCN)</t>
  </si>
  <si>
    <t xml:space="preserve">C42393319</t>
  </si>
  <si>
    <t xml:space="preserve">XFCN PZ254V-12-04P-YL</t>
  </si>
  <si>
    <t xml:space="preserve">Line</t>
  </si>
  <si>
    <t xml:space="preserve">Finding</t>
  </si>
  <si>
    <t xml:space="preserve">Result</t>
  </si>
  <si>
    <t xml:space="preserve">U12 3rd</t>
  </si>
  <si>
    <t xml:space="preserve">YLPTEC ISO7742N0-Y (old 3rd source) is the NARROW SOIC-16 body</t>
  </si>
  <si>
    <t xml:space="preserve">Won't fit SOIC-16W. Replaced by ISO7742W0-Y (wide, default-low).</t>
  </si>
  <si>
    <t xml:space="preserve">U11 3rd</t>
  </si>
  <si>
    <t xml:space="preserve">Maxinmicro MX27524S: pin order could not be confirmed from its datasheet</t>
  </si>
  <si>
    <t xml:space="preserve">Dropped. TI UCC27524ADR + UMW UCC27524DR (stated pin-to-pin).</t>
  </si>
  <si>
    <t xml:space="preserve">U15/17/18</t>
  </si>
  <si>
    <t xml:space="preserve">TPV331S5 / HT331 are push-pull clones with unconfirmed pinout</t>
  </si>
  <si>
    <t xml:space="preserve">Replaced by 3PEAK LMV331X-S5TR and ST LMV331ILT (open-drain, same pinout).</t>
  </si>
  <si>
    <t xml:space="preserve">U16/U22</t>
  </si>
  <si>
    <t xml:space="preserve">TL431 SOT-23 pinout differs between makers. Board: pin1 = cathode, pin2 = REF (TI DBZ)</t>
  </si>
  <si>
    <t xml:space="preserve">U22 must use a 1=K / 2=REF part: TI, UMW, Nexperia normal pinning, HGSEMI. MSKSEMI (no pin numbers) dropped. U16 has pins 1+2 tied so any TL431 works.</t>
  </si>
  <si>
    <t xml:space="preserve">FH CMFB103F3950FANT (old 2nd) is 0805</t>
  </si>
  <si>
    <t xml:space="preserve">Won't fit the 0603 pads. Replaced by two 0603 10k 1 % B3950 parts.</t>
  </si>
  <si>
    <t xml:space="preserve">CR1-CR6</t>
  </si>
  <si>
    <t xml:space="preserve">CCTC / HRE 'M3L' 100 nF 1206 caps show no dielectric - not confirmed C0G</t>
  </si>
  <si>
    <t xml:space="preserve">Resonant caps need C0G. Replaced by Murata GRM31C5C2A104JA01L / TDK C3216C0G2A104JT000E.</t>
  </si>
  <si>
    <t xml:space="preserve">SOREDE SRYH.1770 (old 3rd) saturates at 16 A vs 23 A design</t>
  </si>
  <si>
    <t xml:space="preserve">Dropped. Shun Xiang Nuo SMMS1770-220M and Sunltech SLO1770C (both 23 A sat). Sunltech land checked: fits.</t>
  </si>
  <si>
    <t xml:space="preserve">L2/L3</t>
  </si>
  <si>
    <t xml:space="preserve">APV ANR5040 has no datasheet on LCSC</t>
  </si>
  <si>
    <t xml:space="preserve">New primary cjiang FNR5040S470MT: recommended land 1.4 x 4.2 / gap 2.3 = our footprint exactly.</t>
  </si>
  <si>
    <t xml:space="preserve">Alloy shunt land pattern vs standard R_2512 footprint</t>
  </si>
  <si>
    <t xml:space="preserve">HoJLR2512 terminations 0.9 mm sit fully on our pads (2.35-3.58 mm from centre). OK.</t>
  </si>
  <si>
    <t xml:space="preserve">SHOU HAN TPGT land: 1.1 x 2.2 mm pads, rows 6.6 / 11 mm</t>
  </si>
  <si>
    <t xml:space="preserve">Matches our footprint (1.12 x 2.44, rows 6.16 / 10.74).</t>
  </si>
  <si>
    <t xml:space="preserve">Q1/Q4</t>
  </si>
  <si>
    <t xml:space="preserve">NCE alternates have Qg 54-60 nC vs 26 nC</t>
  </si>
  <si>
    <t xml:space="preserve">Pin-compatible DFN5x6; usable but more switching loss in the hard-switched FETs - bench check.</t>
  </si>
  <si>
    <t xml:space="preserve">Q2/3/5/6</t>
  </si>
  <si>
    <t xml:space="preserve">NCEP068N10G Qg 60 nC vs 65 nC, 6.1 mOhm</t>
  </si>
  <si>
    <t xml:space="preserve">Drop-in (better Rds).</t>
  </si>
  <si>
    <t xml:space="preserve">U4/U13</t>
  </si>
  <si>
    <t xml:space="preserve">LV2862: same pinout and FB; EN threshold 1.25 V vs ~1.5 V</t>
  </si>
  <si>
    <t xml:space="preserve">U13 under-voltage start moves from ~12 V to ~10 V VIN. Acceptable; note it.</t>
  </si>
  <si>
    <t xml:space="preserve">No pin-compatible integrated-power isolated CAN from another maker</t>
  </si>
  <si>
    <t xml:space="preserve">ISO1042DW matches pins 2-16; needs pin 1 = 3.3 V + external isolated 5 V. See 'PCB reserve'.</t>
  </si>
  <si>
    <t xml:space="preserve">Pulse only; PA3855.005NLT same EP13 footprint</t>
  </si>
  <si>
    <t xml:space="preserve">Needs series secondaries. See 'PCB reserve'.</t>
  </si>
  <si>
    <t xml:space="preserve">BOM had X7R on the ramp cap</t>
  </si>
  <si>
    <t xml:space="preserve">KEMET C0G 47 nF (25 V, node &lt; 5 V).</t>
  </si>
  <si>
    <t xml:space="preserve">Part</t>
  </si>
  <si>
    <t xml:space="preserve">Why</t>
  </si>
  <si>
    <t xml:space="preserve">What to add (DNP on the normal build)</t>
  </si>
  <si>
    <t xml:space="preserve">Space</t>
  </si>
  <si>
    <t xml:space="preserve">Where</t>
  </si>
  <si>
    <t xml:space="preserve">Status</t>
  </si>
  <si>
    <t xml:space="preserve">T2 PA3855.006NLT</t>
  </si>
  <si>
    <t xml:space="preserve">Single maker (Pulse), 102 pcs at LCSC</t>
  </si>
  <si>
    <t xml:space="preserve">3 x 0805 0R jumpers on the secondary: A = pin10-&gt;FLY_SA, B = pin6-&gt;GND, C = pin6-&gt;pin10. Normal (.006): fit A+B. Backup (.005NLT, secondaries in series): fit C only.</t>
  </si>
  <si>
    <t xml:space="preserve">~6 x 4 mm</t>
  </si>
  <si>
    <t xml:space="preserve">Free 10 x 8 mm area right of T2 pins 6-10 (x 79.5-89.5, y 46-54)</t>
  </si>
  <si>
    <t xml:space="preserve">Waiting for your OK</t>
  </si>
  <si>
    <t xml:space="preserve">U9 CA-IS3062VW</t>
  </si>
  <si>
    <t xml:space="preserve">Single maker (Chipanalog), integrated isolated DC-DC</t>
  </si>
  <si>
    <t xml:space="preserve">1 x 0402 0R to select U9 pin 1 = +5V (CA-IS3062) or +3V3 (ISO1042DW); B0505S-1WR3 isolated 5 V SIP-4 module + 2 caps feeding VISO.</t>
  </si>
  <si>
    <t xml:space="preserve">~14 x 10 mm + one 0402</t>
  </si>
  <si>
    <t xml:space="preserve">Free area straddling the isolation gap directly above U9 (x 128-142, y 64-74)</t>
  </si>
  <si>
    <t xml:space="preserve">Waiting for your OK (module pin spacing vs 4 mm gap to confirm)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</si>
</sst>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4B6B6"/>
        <bgColor rgb="FFF9D7A8"/>
      </patternFill>
    </fill>
    <fill>
      <patternFill patternType="solid">
        <fgColor rgb="FFF9D7A8"/>
        <bgColor rgb="FFFFF2B3"/>
      </patternFill>
    </fill>
    <fill>
      <patternFill patternType="solid">
        <fgColor rgb="FFFFF2B3"/>
        <bgColor rgb="FFFFFF99"/>
      </patternFill>
    </fill>
    <fill>
      <patternFill patternType="solid">
        <fgColor rgb="FFD9EFD3"/>
        <bgColor rgb="FFE8F3E3"/>
      </patternFill>
    </fill>
    <fill>
      <patternFill patternType="solid">
        <fgColor rgb="FFE8F3E3"/>
        <bgColor rgb="FFD9EFD3"/>
      </patternFill>
    </fill>
    <fill>
      <patternFill patternType="solid">
        <fgColor rgb="FF2F4F6F"/>
        <bgColor rgb="FF333333"/>
      </patternFill>
    </fill>
    <fill>
      <patternFill patternType="solid">
        <fgColor rgb="FFFFFFFF"/>
        <bgColor rgb="FFE8F3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4F6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FD3"/>
          <bgColor rgb="FF000000"/>
        </patternFill>
      </fill>
    </dxf>
    <dxf>
      <fill>
        <patternFill patternType="solid">
          <fgColor rgb="FFF9D7A8"/>
          <bgColor rgb="FF000000"/>
        </patternFill>
      </fill>
    </dxf>
    <dxf>
      <fill>
        <patternFill patternType="solid">
          <fgColor rgb="FFFFF2B3"/>
          <bgColor rgb="FF000000"/>
        </patternFill>
      </fill>
    </dxf>
    <dxf>
      <fill>
        <patternFill patternType="solid">
          <fgColor rgb="FFE8F3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E8F3E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FD3"/>
      <rgbColor rgb="FFFFFF99"/>
      <rgbColor rgb="FF99CCFF"/>
      <rgbColor rgb="FFF4B6B6"/>
      <rgbColor rgb="FFCC99FF"/>
      <rgbColor rgb="FFF9D7A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120"/>
  </cols>
  <sheetData>
    <row r="1" customFormat="false" ht="100.7" hidden="false" customHeight="false" outlineLevel="0" collapsed="false">
      <c r="A1" s="1" t="s">
        <v>0</v>
      </c>
      <c r="B1" s="2"/>
      <c r="C1" s="2"/>
    </row>
    <row r="2" customFormat="false" ht="102.2" hidden="false" customHeight="false" outlineLevel="0" collapsed="false">
      <c r="A2" s="2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2" t="n">
        <f aca="false">COUNTIF(Sourcing!M:M,"CRITICAL")</f>
        <v>0</v>
      </c>
      <c r="C5" s="2" t="s">
        <v>6</v>
      </c>
    </row>
    <row r="6" customFormat="false" ht="15" hidden="false" customHeight="false" outlineLevel="0" collapsed="false">
      <c r="A6" s="5" t="s">
        <v>7</v>
      </c>
      <c r="B6" s="2" t="n">
        <f aca="false">COUNTIF(Sourcing!M:M,"HIGH")</f>
        <v>4</v>
      </c>
      <c r="C6" s="2" t="s">
        <v>8</v>
      </c>
    </row>
    <row r="7" customFormat="false" ht="15" hidden="false" customHeight="false" outlineLevel="0" collapsed="false">
      <c r="A7" s="6" t="s">
        <v>9</v>
      </c>
      <c r="B7" s="2" t="n">
        <f aca="false">COUNTIF(Sourcing!M:M,"MEDIUM")</f>
        <v>9</v>
      </c>
      <c r="C7" s="2" t="s">
        <v>10</v>
      </c>
    </row>
    <row r="8" customFormat="false" ht="15" hidden="false" customHeight="false" outlineLevel="0" collapsed="false">
      <c r="A8" s="7" t="s">
        <v>11</v>
      </c>
      <c r="B8" s="2" t="n">
        <f aca="false">COUNTIF(Sourcing!M:M,"LOW")</f>
        <v>74</v>
      </c>
      <c r="C8" s="2" t="s">
        <v>12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3" t="s">
        <v>13</v>
      </c>
      <c r="B10" s="3" t="s">
        <v>14</v>
      </c>
      <c r="C10" s="3" t="s">
        <v>15</v>
      </c>
    </row>
    <row r="11" customFormat="false" ht="15" hidden="false" customHeight="false" outlineLevel="0" collapsed="false">
      <c r="A11" s="7" t="s">
        <v>16</v>
      </c>
      <c r="B11" s="2" t="n">
        <f aca="false">COUNTIF(Sourcing!S:S,"DS")+COUNTIF(Sourcing!X:X,"DS")</f>
        <v>19</v>
      </c>
      <c r="C11" s="2" t="s">
        <v>17</v>
      </c>
    </row>
    <row r="12" customFormat="false" ht="15" hidden="false" customHeight="false" outlineLevel="0" collapsed="false">
      <c r="A12" s="8" t="s">
        <v>18</v>
      </c>
      <c r="B12" s="2" t="n">
        <f aca="false">COUNTIF(Sourcing!S:S,"EQ")+COUNTIF(Sourcing!X:X,"EQ")</f>
        <v>126</v>
      </c>
      <c r="C12" s="2" t="s">
        <v>19</v>
      </c>
    </row>
    <row r="13" customFormat="false" ht="15" hidden="false" customHeight="false" outlineLevel="0" collapsed="false">
      <c r="A13" s="6" t="s">
        <v>20</v>
      </c>
      <c r="B13" s="2" t="n">
        <f aca="false">COUNTIF(Sourcing!S:S,"CHK")+COUNTIF(Sourcing!X:X,"CHK")</f>
        <v>10</v>
      </c>
      <c r="C13" s="2" t="s">
        <v>21</v>
      </c>
    </row>
    <row r="14" customFormat="false" ht="15" hidden="false" customHeight="false" outlineLevel="0" collapsed="false">
      <c r="A14" s="5" t="s">
        <v>22</v>
      </c>
      <c r="B14" s="2" t="n">
        <f aca="false">COUNTIF(Sourcing!S:S,"PCB")+COUNTIF(Sourcing!X:X,"PCB")</f>
        <v>3</v>
      </c>
      <c r="C14" s="2" t="s">
        <v>23</v>
      </c>
    </row>
    <row r="15" customFormat="false" ht="15" hidden="false" customHeight="false" outlineLevel="0" collapsed="false">
      <c r="A15" s="2"/>
      <c r="B15" s="2"/>
      <c r="C15" s="2"/>
    </row>
    <row r="16" customFormat="false" ht="23.85" hidden="false" customHeight="false" outlineLevel="0" collapsed="false">
      <c r="A16" s="3" t="s">
        <v>24</v>
      </c>
      <c r="B16" s="3"/>
      <c r="C16" s="3" t="s">
        <v>25</v>
      </c>
    </row>
    <row r="17" customFormat="false" ht="15" hidden="false" customHeight="false" outlineLevel="0" collapsed="false">
      <c r="A17" s="2"/>
      <c r="B17" s="2"/>
      <c r="C17" s="2"/>
    </row>
    <row r="18" customFormat="false" ht="57.45" hidden="false" customHeight="false" outlineLevel="0" collapsed="false">
      <c r="A18" s="3" t="s">
        <v>26</v>
      </c>
      <c r="B18" s="3"/>
      <c r="C18" s="3"/>
    </row>
    <row r="19" customFormat="false" ht="15" hidden="false" customHeight="false" outlineLevel="0" collapsed="false">
      <c r="A19" s="2" t="s">
        <v>27</v>
      </c>
      <c r="B19" s="2" t="s">
        <v>28</v>
      </c>
      <c r="C19" s="2" t="s">
        <v>29</v>
      </c>
    </row>
    <row r="20" customFormat="false" ht="15" hidden="false" customHeight="false" outlineLevel="0" collapsed="false">
      <c r="A20" s="2" t="s">
        <v>30</v>
      </c>
      <c r="B20" s="2" t="s">
        <v>31</v>
      </c>
      <c r="C20" s="2" t="s">
        <v>32</v>
      </c>
    </row>
    <row r="21" customFormat="false" ht="15" hidden="false" customHeight="false" outlineLevel="0" collapsed="false">
      <c r="A21" s="2" t="s">
        <v>33</v>
      </c>
      <c r="B21" s="2" t="s">
        <v>34</v>
      </c>
      <c r="C21" s="2" t="s">
        <v>35</v>
      </c>
    </row>
    <row r="22" customFormat="false" ht="15" hidden="false" customHeight="false" outlineLevel="0" collapsed="false">
      <c r="A22" s="2" t="s">
        <v>36</v>
      </c>
      <c r="B22" s="2" t="s">
        <v>37</v>
      </c>
      <c r="C22" s="2" t="s">
        <v>38</v>
      </c>
    </row>
    <row r="23" customFormat="false" ht="15" hidden="false" customHeight="false" outlineLevel="0" collapsed="false">
      <c r="A23" s="2" t="s">
        <v>39</v>
      </c>
      <c r="B23" s="2" t="s">
        <v>40</v>
      </c>
      <c r="C23" s="2" t="s">
        <v>41</v>
      </c>
    </row>
    <row r="24" customFormat="false" ht="15" hidden="false" customHeight="false" outlineLevel="0" collapsed="false">
      <c r="A24" s="2" t="s">
        <v>42</v>
      </c>
      <c r="B24" s="2" t="s">
        <v>43</v>
      </c>
      <c r="C24" s="2" t="s">
        <v>44</v>
      </c>
    </row>
    <row r="25" customFormat="false" ht="15" hidden="false" customHeight="false" outlineLevel="0" collapsed="false">
      <c r="A25" s="2" t="s">
        <v>45</v>
      </c>
      <c r="B25" s="2" t="s">
        <v>46</v>
      </c>
      <c r="C25" s="2" t="s">
        <v>47</v>
      </c>
    </row>
    <row r="26" customFormat="false" ht="15" hidden="false" customHeight="false" outlineLevel="0" collapsed="false">
      <c r="A26" s="2" t="s">
        <v>48</v>
      </c>
      <c r="B26" s="2" t="s">
        <v>49</v>
      </c>
      <c r="C26" s="2" t="s">
        <v>50</v>
      </c>
    </row>
    <row r="27" customFormat="false" ht="15" hidden="false" customHeight="false" outlineLevel="0" collapsed="false">
      <c r="A27" s="2" t="s">
        <v>51</v>
      </c>
      <c r="B27" s="2" t="s">
        <v>52</v>
      </c>
      <c r="C27" s="2" t="s">
        <v>53</v>
      </c>
    </row>
    <row r="28" customFormat="false" ht="15" hidden="false" customHeight="false" outlineLevel="0" collapsed="false">
      <c r="A28" s="2" t="s">
        <v>54</v>
      </c>
      <c r="B28" s="2" t="s">
        <v>55</v>
      </c>
      <c r="C28" s="2" t="s">
        <v>56</v>
      </c>
    </row>
    <row r="29" customFormat="false" ht="15" hidden="false" customHeight="false" outlineLevel="0" collapsed="false">
      <c r="A29" s="2" t="s">
        <v>57</v>
      </c>
      <c r="B29" s="2" t="s">
        <v>58</v>
      </c>
      <c r="C29" s="2" t="s">
        <v>59</v>
      </c>
    </row>
    <row r="30" customFormat="false" ht="23.85" hidden="false" customHeight="false" outlineLevel="0" collapsed="false">
      <c r="A30" s="2" t="s">
        <v>60</v>
      </c>
      <c r="B30" s="2" t="s">
        <v>61</v>
      </c>
      <c r="C30" s="2" t="s">
        <v>62</v>
      </c>
    </row>
    <row r="31" customFormat="false" ht="15" hidden="false" customHeight="false" outlineLevel="0" collapsed="false">
      <c r="A31" s="2" t="s">
        <v>63</v>
      </c>
      <c r="B31" s="2" t="s">
        <v>64</v>
      </c>
      <c r="C31" s="2" t="s">
        <v>65</v>
      </c>
    </row>
    <row r="32" customFormat="false" ht="15" hidden="false" customHeight="false" outlineLevel="0" collapsed="false">
      <c r="A32" s="2"/>
      <c r="B32" s="2"/>
      <c r="C32" s="2"/>
    </row>
    <row r="33" customFormat="false" ht="15" hidden="false" customHeight="false" outlineLevel="0" collapsed="false">
      <c r="A33" s="2" t="s">
        <v>66</v>
      </c>
      <c r="B33" s="2"/>
      <c r="C33" s="2"/>
    </row>
    <row r="34" customFormat="false" ht="15" hidden="false" customHeight="false" outlineLevel="0" collapsed="false">
      <c r="A34" s="2" t="s">
        <v>67</v>
      </c>
      <c r="B34" s="2" t="s">
        <v>68</v>
      </c>
      <c r="C34" s="2" t="s">
        <v>69</v>
      </c>
    </row>
    <row r="35" customFormat="false" ht="15" hidden="false" customHeight="false" outlineLevel="0" collapsed="false">
      <c r="A35" s="2" t="s">
        <v>70</v>
      </c>
      <c r="B35" s="2" t="s">
        <v>71</v>
      </c>
      <c r="C35" s="2" t="s">
        <v>72</v>
      </c>
    </row>
    <row r="36" customFormat="false" ht="15" hidden="false" customHeight="false" outlineLevel="0" collapsed="false">
      <c r="A36" s="2" t="s">
        <v>73</v>
      </c>
      <c r="B36" s="2" t="s">
        <v>74</v>
      </c>
      <c r="C36" s="2" t="s">
        <v>75</v>
      </c>
    </row>
    <row r="37" customFormat="false" ht="15" hidden="false" customHeight="false" outlineLevel="0" collapsed="false">
      <c r="A37" s="2" t="s">
        <v>76</v>
      </c>
      <c r="B37" s="2" t="s">
        <v>77</v>
      </c>
      <c r="C37" s="2" t="s">
        <v>78</v>
      </c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 t="s">
        <v>79</v>
      </c>
      <c r="B39" s="2" t="s">
        <v>80</v>
      </c>
      <c r="C39" s="2" t="s">
        <v>81</v>
      </c>
    </row>
    <row r="40" customFormat="false" ht="15" hidden="false" customHeight="false" outlineLevel="0" collapsed="false">
      <c r="A40" s="2" t="s">
        <v>82</v>
      </c>
      <c r="B40" s="2" t="s">
        <v>83</v>
      </c>
      <c r="C40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6"/>
    <col collapsed="false" customWidth="true" hidden="false" outlineLevel="0" max="16" min="15" style="0" width="26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7"/>
    <col collapsed="false" customWidth="true" hidden="false" outlineLevel="0" max="20" min="20" style="0" width="44"/>
    <col collapsed="false" customWidth="true" hidden="false" outlineLevel="0" max="21" min="21" style="0" width="26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44"/>
    <col collapsed="false" customWidth="true" hidden="false" outlineLevel="0" max="26" min="26" style="0" width="10"/>
  </cols>
  <sheetData>
    <row r="1" customFormat="false" ht="42" hidden="false" customHeight="true" outlineLevel="0" collapsed="false">
      <c r="A1" s="9" t="s">
        <v>85</v>
      </c>
      <c r="B1" s="9" t="s">
        <v>86</v>
      </c>
      <c r="C1" s="9" t="s">
        <v>87</v>
      </c>
      <c r="D1" s="9" t="s">
        <v>88</v>
      </c>
      <c r="E1" s="9" t="s">
        <v>89</v>
      </c>
      <c r="F1" s="9" t="s">
        <v>90</v>
      </c>
      <c r="G1" s="9" t="s">
        <v>91</v>
      </c>
      <c r="H1" s="9" t="s">
        <v>92</v>
      </c>
      <c r="I1" s="9" t="s">
        <v>93</v>
      </c>
      <c r="J1" s="9" t="s">
        <v>94</v>
      </c>
      <c r="K1" s="9" t="s">
        <v>95</v>
      </c>
      <c r="L1" s="9" t="s">
        <v>96</v>
      </c>
      <c r="M1" s="9" t="s">
        <v>2</v>
      </c>
      <c r="N1" s="9" t="s">
        <v>97</v>
      </c>
      <c r="O1" s="9" t="s">
        <v>98</v>
      </c>
      <c r="P1" s="9" t="s">
        <v>99</v>
      </c>
      <c r="Q1" s="9" t="s">
        <v>100</v>
      </c>
      <c r="R1" s="9" t="s">
        <v>101</v>
      </c>
      <c r="S1" s="9" t="s">
        <v>102</v>
      </c>
      <c r="T1" s="9" t="s">
        <v>103</v>
      </c>
      <c r="U1" s="9" t="s">
        <v>104</v>
      </c>
      <c r="V1" s="9" t="s">
        <v>105</v>
      </c>
      <c r="W1" s="9" t="s">
        <v>106</v>
      </c>
      <c r="X1" s="9" t="s">
        <v>107</v>
      </c>
      <c r="Y1" s="9" t="s">
        <v>108</v>
      </c>
      <c r="Z1" s="9" t="s">
        <v>109</v>
      </c>
    </row>
    <row r="2" customFormat="false" ht="22.35" hidden="false" customHeight="false" outlineLevel="0" collapsed="false">
      <c r="A2" s="10" t="n">
        <v>1</v>
      </c>
      <c r="B2" s="11" t="s">
        <v>68</v>
      </c>
      <c r="C2" s="10" t="n">
        <v>3</v>
      </c>
      <c r="D2" s="11" t="s">
        <v>110</v>
      </c>
      <c r="E2" s="11" t="s">
        <v>111</v>
      </c>
      <c r="F2" s="11" t="s">
        <v>112</v>
      </c>
      <c r="G2" s="10" t="s">
        <v>113</v>
      </c>
      <c r="H2" s="10" t="s">
        <v>114</v>
      </c>
      <c r="I2" s="10" t="s">
        <v>67</v>
      </c>
      <c r="J2" s="12" t="n">
        <v>175</v>
      </c>
      <c r="K2" s="12" t="n">
        <f aca="false">IF(ISNUMBER(J2),INT(J2/C2),0)</f>
        <v>58</v>
      </c>
      <c r="L2" s="13" t="n">
        <v>0.0875</v>
      </c>
      <c r="M2" s="14" t="s">
        <v>7</v>
      </c>
      <c r="N2" s="11" t="s">
        <v>69</v>
      </c>
      <c r="O2" s="11"/>
      <c r="P2" s="11" t="s">
        <v>115</v>
      </c>
      <c r="Q2" s="10" t="s">
        <v>116</v>
      </c>
      <c r="R2" s="12" t="n">
        <v>350</v>
      </c>
      <c r="S2" s="15" t="s">
        <v>18</v>
      </c>
      <c r="T2" s="11" t="s">
        <v>117</v>
      </c>
      <c r="U2" s="11" t="s">
        <v>118</v>
      </c>
      <c r="V2" s="10" t="s">
        <v>119</v>
      </c>
      <c r="W2" s="12" t="n">
        <v>24990</v>
      </c>
      <c r="X2" s="16" t="s">
        <v>20</v>
      </c>
      <c r="Y2" s="11" t="s">
        <v>120</v>
      </c>
      <c r="Z2" s="10" t="n">
        <f aca="false">IF(ISNUMBER(J2),IF(J2&gt;=100*C2,1,0),0)+IF(ISNUMBER(R2),IF(R2&gt;=100*C2,1,0),0)+IF(ISNUMBER(W2),IF(W2&gt;=100*C2,1,0),0)</f>
        <v>2</v>
      </c>
    </row>
    <row r="3" customFormat="false" ht="32.8" hidden="false" customHeight="false" outlineLevel="0" collapsed="false">
      <c r="A3" s="10" t="n">
        <v>28</v>
      </c>
      <c r="B3" s="11" t="s">
        <v>71</v>
      </c>
      <c r="C3" s="10" t="n">
        <v>1</v>
      </c>
      <c r="D3" s="11" t="s">
        <v>121</v>
      </c>
      <c r="E3" s="11" t="s">
        <v>122</v>
      </c>
      <c r="F3" s="11" t="s">
        <v>123</v>
      </c>
      <c r="G3" s="10" t="s">
        <v>121</v>
      </c>
      <c r="H3" s="10" t="s">
        <v>124</v>
      </c>
      <c r="I3" s="10" t="s">
        <v>70</v>
      </c>
      <c r="J3" s="12" t="n">
        <v>120</v>
      </c>
      <c r="K3" s="12" t="n">
        <f aca="false">IF(ISNUMBER(J3),INT(J3/C3),0)</f>
        <v>120</v>
      </c>
      <c r="L3" s="13" t="n">
        <v>0.8544</v>
      </c>
      <c r="M3" s="14" t="s">
        <v>7</v>
      </c>
      <c r="N3" s="11" t="s">
        <v>72</v>
      </c>
      <c r="O3" s="11"/>
      <c r="P3" s="11" t="s">
        <v>125</v>
      </c>
      <c r="Q3" s="10" t="s">
        <v>126</v>
      </c>
      <c r="R3" s="12" t="n">
        <v>961</v>
      </c>
      <c r="S3" s="16" t="s">
        <v>20</v>
      </c>
      <c r="T3" s="11" t="s">
        <v>127</v>
      </c>
      <c r="U3" s="11" t="s">
        <v>128</v>
      </c>
      <c r="V3" s="10" t="s">
        <v>129</v>
      </c>
      <c r="W3" s="12" t="n">
        <v>150</v>
      </c>
      <c r="X3" s="17" t="s">
        <v>16</v>
      </c>
      <c r="Y3" s="11" t="s">
        <v>130</v>
      </c>
      <c r="Z3" s="10" t="n">
        <f aca="false">IF(ISNUMBER(J3),IF(J3&gt;=100*C3,1,0),0)+IF(ISNUMBER(R3),IF(R3&gt;=100*C3,1,0),0)+IF(ISNUMBER(W3),IF(W3&gt;=100*C3,1,0),0)</f>
        <v>3</v>
      </c>
    </row>
    <row r="4" customFormat="false" ht="32.8" hidden="false" customHeight="false" outlineLevel="0" collapsed="false">
      <c r="A4" s="10" t="n">
        <v>66</v>
      </c>
      <c r="B4" s="11" t="s">
        <v>74</v>
      </c>
      <c r="C4" s="10" t="n">
        <v>1</v>
      </c>
      <c r="D4" s="11" t="s">
        <v>131</v>
      </c>
      <c r="E4" s="11" t="s">
        <v>132</v>
      </c>
      <c r="F4" s="11" t="s">
        <v>133</v>
      </c>
      <c r="G4" s="10" t="s">
        <v>131</v>
      </c>
      <c r="H4" s="10" t="s">
        <v>134</v>
      </c>
      <c r="I4" s="10" t="s">
        <v>73</v>
      </c>
      <c r="J4" s="12" t="n">
        <v>102</v>
      </c>
      <c r="K4" s="12" t="n">
        <f aca="false">IF(ISNUMBER(J4),INT(J4/C4),0)</f>
        <v>102</v>
      </c>
      <c r="L4" s="13" t="n">
        <v>1.2828</v>
      </c>
      <c r="M4" s="14" t="s">
        <v>7</v>
      </c>
      <c r="N4" s="11" t="s">
        <v>75</v>
      </c>
      <c r="O4" s="11"/>
      <c r="P4" s="11" t="s">
        <v>135</v>
      </c>
      <c r="Q4" s="10" t="s">
        <v>136</v>
      </c>
      <c r="R4" s="12" t="n">
        <v>520</v>
      </c>
      <c r="S4" s="14" t="s">
        <v>22</v>
      </c>
      <c r="T4" s="11" t="s">
        <v>137</v>
      </c>
      <c r="U4" s="11"/>
      <c r="V4" s="10"/>
      <c r="W4" s="12"/>
      <c r="X4" s="18"/>
      <c r="Y4" s="11" t="s">
        <v>138</v>
      </c>
      <c r="Z4" s="10" t="n">
        <f aca="false">IF(ISNUMBER(J4),IF(J4&gt;=100*C4,1,0),0)+IF(ISNUMBER(R4),IF(R4&gt;=100*C4,1,0),0)+IF(ISNUMBER(W4),IF(W4&gt;=100*C4,1,0),0)</f>
        <v>2</v>
      </c>
    </row>
    <row r="5" customFormat="false" ht="32.8" hidden="false" customHeight="false" outlineLevel="0" collapsed="false">
      <c r="A5" s="10" t="n">
        <v>68</v>
      </c>
      <c r="B5" s="11" t="s">
        <v>77</v>
      </c>
      <c r="C5" s="10" t="n">
        <v>3</v>
      </c>
      <c r="D5" s="11" t="s">
        <v>139</v>
      </c>
      <c r="E5" s="11" t="s">
        <v>140</v>
      </c>
      <c r="F5" s="11" t="s">
        <v>141</v>
      </c>
      <c r="G5" s="10" t="s">
        <v>139</v>
      </c>
      <c r="H5" s="10" t="s">
        <v>142</v>
      </c>
      <c r="I5" s="10" t="s">
        <v>76</v>
      </c>
      <c r="J5" s="12" t="n">
        <v>338</v>
      </c>
      <c r="K5" s="12" t="n">
        <f aca="false">IF(ISNUMBER(J5),INT(J5/C5),0)</f>
        <v>112</v>
      </c>
      <c r="L5" s="13" t="n">
        <v>1.4619</v>
      </c>
      <c r="M5" s="14" t="s">
        <v>7</v>
      </c>
      <c r="N5" s="11" t="s">
        <v>78</v>
      </c>
      <c r="O5" s="11"/>
      <c r="P5" s="11" t="s">
        <v>143</v>
      </c>
      <c r="Q5" s="10" t="s">
        <v>144</v>
      </c>
      <c r="R5" s="12" t="n">
        <v>755</v>
      </c>
      <c r="S5" s="17" t="s">
        <v>16</v>
      </c>
      <c r="T5" s="11" t="s">
        <v>145</v>
      </c>
      <c r="U5" s="11" t="s">
        <v>146</v>
      </c>
      <c r="V5" s="10" t="s">
        <v>147</v>
      </c>
      <c r="W5" s="12" t="n">
        <v>2138</v>
      </c>
      <c r="X5" s="17" t="s">
        <v>16</v>
      </c>
      <c r="Y5" s="11" t="s">
        <v>148</v>
      </c>
      <c r="Z5" s="10" t="n">
        <f aca="false">IF(ISNUMBER(J5),IF(J5&gt;=100*C5,1,0),0)+IF(ISNUMBER(R5),IF(R5&gt;=100*C5,1,0),0)+IF(ISNUMBER(W5),IF(W5&gt;=100*C5,1,0),0)</f>
        <v>3</v>
      </c>
    </row>
    <row r="6" customFormat="false" ht="32.8" hidden="false" customHeight="false" outlineLevel="0" collapsed="false">
      <c r="A6" s="10" t="n">
        <v>19</v>
      </c>
      <c r="B6" s="11" t="s">
        <v>149</v>
      </c>
      <c r="C6" s="10" t="n">
        <v>6</v>
      </c>
      <c r="D6" s="11" t="s">
        <v>150</v>
      </c>
      <c r="E6" s="11" t="s">
        <v>151</v>
      </c>
      <c r="F6" s="11" t="s">
        <v>152</v>
      </c>
      <c r="G6" s="10" t="s">
        <v>153</v>
      </c>
      <c r="H6" s="10" t="s">
        <v>154</v>
      </c>
      <c r="I6" s="10" t="s">
        <v>155</v>
      </c>
      <c r="J6" s="12" t="n">
        <v>1802</v>
      </c>
      <c r="K6" s="12" t="n">
        <f aca="false">IF(ISNUMBER(J6),INT(J6/C6),0)</f>
        <v>300</v>
      </c>
      <c r="L6" s="13" t="n">
        <v>0.1817</v>
      </c>
      <c r="M6" s="16" t="s">
        <v>9</v>
      </c>
      <c r="N6" s="11" t="s">
        <v>156</v>
      </c>
      <c r="O6" s="11"/>
      <c r="P6" s="11" t="s">
        <v>157</v>
      </c>
      <c r="Q6" s="10" t="s">
        <v>158</v>
      </c>
      <c r="R6" s="12" t="n">
        <v>7815</v>
      </c>
      <c r="S6" s="15" t="s">
        <v>18</v>
      </c>
      <c r="T6" s="11" t="s">
        <v>159</v>
      </c>
      <c r="U6" s="11" t="s">
        <v>160</v>
      </c>
      <c r="V6" s="10" t="s">
        <v>161</v>
      </c>
      <c r="W6" s="12" t="n">
        <v>1350</v>
      </c>
      <c r="X6" s="15" t="s">
        <v>18</v>
      </c>
      <c r="Y6" s="11" t="s">
        <v>162</v>
      </c>
      <c r="Z6" s="10" t="n">
        <f aca="false">IF(ISNUMBER(J6),IF(J6&gt;=100*C6,1,0),0)+IF(ISNUMBER(R6),IF(R6&gt;=100*C6,1,0),0)+IF(ISNUMBER(W6),IF(W6&gt;=100*C6,1,0),0)</f>
        <v>3</v>
      </c>
    </row>
    <row r="7" customFormat="false" ht="15" hidden="false" customHeight="false" outlineLevel="0" collapsed="false">
      <c r="A7" s="10" t="n">
        <v>26</v>
      </c>
      <c r="B7" s="11" t="s">
        <v>163</v>
      </c>
      <c r="C7" s="10" t="n">
        <v>1</v>
      </c>
      <c r="D7" s="11" t="s">
        <v>164</v>
      </c>
      <c r="E7" s="11" t="s">
        <v>165</v>
      </c>
      <c r="F7" s="11" t="s">
        <v>166</v>
      </c>
      <c r="G7" s="10" t="s">
        <v>164</v>
      </c>
      <c r="H7" s="10" t="s">
        <v>167</v>
      </c>
      <c r="I7" s="10" t="s">
        <v>168</v>
      </c>
      <c r="J7" s="12" t="n">
        <v>765</v>
      </c>
      <c r="K7" s="12" t="n">
        <f aca="false">IF(ISNUMBER(J7),INT(J7/C7),0)</f>
        <v>765</v>
      </c>
      <c r="L7" s="13" t="n">
        <v>0.4845</v>
      </c>
      <c r="M7" s="16" t="s">
        <v>9</v>
      </c>
      <c r="N7" s="11" t="s">
        <v>169</v>
      </c>
      <c r="O7" s="11"/>
      <c r="P7" s="11" t="s">
        <v>170</v>
      </c>
      <c r="Q7" s="10" t="s">
        <v>171</v>
      </c>
      <c r="R7" s="12" t="n">
        <v>2710</v>
      </c>
      <c r="S7" s="17" t="s">
        <v>16</v>
      </c>
      <c r="T7" s="11" t="s">
        <v>172</v>
      </c>
      <c r="U7" s="11" t="s">
        <v>173</v>
      </c>
      <c r="V7" s="10" t="s">
        <v>174</v>
      </c>
      <c r="W7" s="12" t="n">
        <v>40</v>
      </c>
      <c r="X7" s="15" t="s">
        <v>18</v>
      </c>
      <c r="Y7" s="11" t="s">
        <v>175</v>
      </c>
      <c r="Z7" s="10" t="n">
        <f aca="false">IF(ISNUMBER(J7),IF(J7&gt;=100*C7,1,0),0)+IF(ISNUMBER(R7),IF(R7&gt;=100*C7,1,0),0)+IF(ISNUMBER(W7),IF(W7&gt;=100*C7,1,0),0)</f>
        <v>2</v>
      </c>
    </row>
    <row r="8" customFormat="false" ht="32.8" hidden="false" customHeight="false" outlineLevel="0" collapsed="false">
      <c r="A8" s="10" t="n">
        <v>30</v>
      </c>
      <c r="B8" s="11" t="s">
        <v>176</v>
      </c>
      <c r="C8" s="10" t="n">
        <v>2</v>
      </c>
      <c r="D8" s="11" t="s">
        <v>177</v>
      </c>
      <c r="E8" s="11" t="s">
        <v>178</v>
      </c>
      <c r="F8" s="11" t="s">
        <v>179</v>
      </c>
      <c r="G8" s="10" t="s">
        <v>177</v>
      </c>
      <c r="H8" s="10" t="s">
        <v>180</v>
      </c>
      <c r="I8" s="10" t="s">
        <v>181</v>
      </c>
      <c r="J8" s="12" t="n">
        <v>4695</v>
      </c>
      <c r="K8" s="12" t="n">
        <f aca="false">IF(ISNUMBER(J8),INT(J8/C8),0)</f>
        <v>2347</v>
      </c>
      <c r="L8" s="13" t="n">
        <v>0.286</v>
      </c>
      <c r="M8" s="16" t="s">
        <v>9</v>
      </c>
      <c r="N8" s="11" t="s">
        <v>182</v>
      </c>
      <c r="O8" s="11"/>
      <c r="P8" s="11" t="s">
        <v>183</v>
      </c>
      <c r="Q8" s="10" t="s">
        <v>184</v>
      </c>
      <c r="R8" s="12" t="n">
        <v>645</v>
      </c>
      <c r="S8" s="16" t="s">
        <v>20</v>
      </c>
      <c r="T8" s="11" t="s">
        <v>185</v>
      </c>
      <c r="U8" s="11" t="s">
        <v>31</v>
      </c>
      <c r="V8" s="10" t="s">
        <v>30</v>
      </c>
      <c r="W8" s="12" t="n">
        <v>7577</v>
      </c>
      <c r="X8" s="16" t="s">
        <v>20</v>
      </c>
      <c r="Y8" s="11" t="s">
        <v>186</v>
      </c>
      <c r="Z8" s="10" t="n">
        <f aca="false">IF(ISNUMBER(J8),IF(J8&gt;=100*C8,1,0),0)+IF(ISNUMBER(R8),IF(R8&gt;=100*C8,1,0),0)+IF(ISNUMBER(W8),IF(W8&gt;=100*C8,1,0),0)</f>
        <v>3</v>
      </c>
    </row>
    <row r="9" customFormat="false" ht="22.35" hidden="false" customHeight="false" outlineLevel="0" collapsed="false">
      <c r="A9" s="10" t="n">
        <v>35</v>
      </c>
      <c r="B9" s="11" t="s">
        <v>187</v>
      </c>
      <c r="C9" s="10" t="n">
        <v>1</v>
      </c>
      <c r="D9" s="11" t="s">
        <v>188</v>
      </c>
      <c r="E9" s="11" t="s">
        <v>189</v>
      </c>
      <c r="F9" s="11" t="s">
        <v>190</v>
      </c>
      <c r="G9" s="10" t="s">
        <v>188</v>
      </c>
      <c r="H9" s="10" t="s">
        <v>191</v>
      </c>
      <c r="I9" s="10" t="s">
        <v>192</v>
      </c>
      <c r="J9" s="12" t="n">
        <v>1606</v>
      </c>
      <c r="K9" s="12" t="n">
        <f aca="false">IF(ISNUMBER(J9),INT(J9/C9),0)</f>
        <v>1606</v>
      </c>
      <c r="L9" s="13" t="n">
        <v>0.6163</v>
      </c>
      <c r="M9" s="16" t="s">
        <v>9</v>
      </c>
      <c r="N9" s="11" t="s">
        <v>193</v>
      </c>
      <c r="O9" s="11"/>
      <c r="P9" s="11" t="s">
        <v>194</v>
      </c>
      <c r="Q9" s="10" t="s">
        <v>195</v>
      </c>
      <c r="R9" s="12" t="n">
        <v>4035</v>
      </c>
      <c r="S9" s="15" t="s">
        <v>18</v>
      </c>
      <c r="T9" s="11" t="s">
        <v>196</v>
      </c>
      <c r="U9" s="11" t="s">
        <v>197</v>
      </c>
      <c r="V9" s="10" t="s">
        <v>198</v>
      </c>
      <c r="W9" s="12" t="n">
        <v>6090</v>
      </c>
      <c r="X9" s="15" t="s">
        <v>18</v>
      </c>
      <c r="Y9" s="11" t="s">
        <v>199</v>
      </c>
      <c r="Z9" s="10" t="n">
        <f aca="false">IF(ISNUMBER(J9),IF(J9&gt;=100*C9,1,0),0)+IF(ISNUMBER(R9),IF(R9&gt;=100*C9,1,0),0)+IF(ISNUMBER(W9),IF(W9&gt;=100*C9,1,0),0)</f>
        <v>3</v>
      </c>
    </row>
    <row r="10" customFormat="false" ht="32.8" hidden="false" customHeight="false" outlineLevel="0" collapsed="false">
      <c r="A10" s="10" t="n">
        <v>51</v>
      </c>
      <c r="B10" s="11" t="s">
        <v>200</v>
      </c>
      <c r="C10" s="10" t="n">
        <v>1</v>
      </c>
      <c r="D10" s="11" t="s">
        <v>201</v>
      </c>
      <c r="E10" s="11" t="s">
        <v>202</v>
      </c>
      <c r="F10" s="11" t="s">
        <v>152</v>
      </c>
      <c r="G10" s="10" t="s">
        <v>203</v>
      </c>
      <c r="H10" s="10" t="s">
        <v>204</v>
      </c>
      <c r="I10" s="10" t="s">
        <v>205</v>
      </c>
      <c r="J10" s="12" t="n">
        <v>4755</v>
      </c>
      <c r="K10" s="12" t="n">
        <f aca="false">IF(ISNUMBER(J10),INT(J10/C10),0)</f>
        <v>4755</v>
      </c>
      <c r="L10" s="13" t="n">
        <v>0.0506</v>
      </c>
      <c r="M10" s="16" t="s">
        <v>9</v>
      </c>
      <c r="N10" s="11" t="s">
        <v>206</v>
      </c>
      <c r="O10" s="11"/>
      <c r="P10" s="11"/>
      <c r="Q10" s="10"/>
      <c r="R10" s="12"/>
      <c r="S10" s="18"/>
      <c r="T10" s="11" t="s">
        <v>207</v>
      </c>
      <c r="U10" s="11"/>
      <c r="V10" s="10"/>
      <c r="W10" s="12"/>
      <c r="X10" s="18"/>
      <c r="Y10" s="11" t="s">
        <v>208</v>
      </c>
      <c r="Z10" s="10" t="n">
        <f aca="false">IF(ISNUMBER(J10),IF(J10&gt;=100*C10,1,0),0)+IF(ISNUMBER(R10),IF(R10&gt;=100*C10,1,0),0)+IF(ISNUMBER(W10),IF(W10&gt;=100*C10,1,0),0)</f>
        <v>1</v>
      </c>
    </row>
    <row r="11" customFormat="false" ht="32.8" hidden="false" customHeight="false" outlineLevel="0" collapsed="false">
      <c r="A11" s="10" t="n">
        <v>73</v>
      </c>
      <c r="B11" s="11" t="s">
        <v>209</v>
      </c>
      <c r="C11" s="10" t="n">
        <v>1</v>
      </c>
      <c r="D11" s="11" t="s">
        <v>210</v>
      </c>
      <c r="E11" s="11" t="s">
        <v>211</v>
      </c>
      <c r="F11" s="11" t="s">
        <v>212</v>
      </c>
      <c r="G11" s="10" t="s">
        <v>210</v>
      </c>
      <c r="H11" s="10" t="s">
        <v>213</v>
      </c>
      <c r="I11" s="10" t="s">
        <v>214</v>
      </c>
      <c r="J11" s="12" t="n">
        <v>4777</v>
      </c>
      <c r="K11" s="12" t="n">
        <f aca="false">IF(ISNUMBER(J11),INT(J11/C11),0)</f>
        <v>4777</v>
      </c>
      <c r="L11" s="13" t="n">
        <v>2.16</v>
      </c>
      <c r="M11" s="16" t="s">
        <v>9</v>
      </c>
      <c r="N11" s="11" t="s">
        <v>215</v>
      </c>
      <c r="O11" s="11"/>
      <c r="P11" s="11" t="s">
        <v>216</v>
      </c>
      <c r="Q11" s="10" t="s">
        <v>217</v>
      </c>
      <c r="R11" s="12" t="n">
        <v>2231</v>
      </c>
      <c r="S11" s="14" t="s">
        <v>22</v>
      </c>
      <c r="T11" s="11" t="s">
        <v>218</v>
      </c>
      <c r="U11" s="11" t="s">
        <v>219</v>
      </c>
      <c r="V11" s="10" t="s">
        <v>220</v>
      </c>
      <c r="W11" s="12" t="n">
        <v>270</v>
      </c>
      <c r="X11" s="14" t="s">
        <v>22</v>
      </c>
      <c r="Y11" s="11" t="s">
        <v>221</v>
      </c>
      <c r="Z11" s="10" t="n">
        <f aca="false">IF(ISNUMBER(J11),IF(J11&gt;=100*C11,1,0),0)+IF(ISNUMBER(R11),IF(R11&gt;=100*C11,1,0),0)+IF(ISNUMBER(W11),IF(W11&gt;=100*C11,1,0),0)</f>
        <v>3</v>
      </c>
    </row>
    <row r="12" customFormat="false" ht="32.8" hidden="false" customHeight="false" outlineLevel="0" collapsed="false">
      <c r="A12" s="10" t="n">
        <v>75</v>
      </c>
      <c r="B12" s="11" t="s">
        <v>222</v>
      </c>
      <c r="C12" s="10" t="n">
        <v>1</v>
      </c>
      <c r="D12" s="11" t="s">
        <v>223</v>
      </c>
      <c r="E12" s="11" t="s">
        <v>211</v>
      </c>
      <c r="F12" s="11" t="s">
        <v>212</v>
      </c>
      <c r="G12" s="10" t="s">
        <v>223</v>
      </c>
      <c r="H12" s="10" t="s">
        <v>213</v>
      </c>
      <c r="I12" s="10" t="s">
        <v>224</v>
      </c>
      <c r="J12" s="12" t="n">
        <v>2320</v>
      </c>
      <c r="K12" s="12" t="n">
        <f aca="false">IF(ISNUMBER(J12),INT(J12/C12),0)</f>
        <v>2320</v>
      </c>
      <c r="L12" s="13" t="n">
        <v>0.46</v>
      </c>
      <c r="M12" s="16" t="s">
        <v>9</v>
      </c>
      <c r="N12" s="11" t="s">
        <v>225</v>
      </c>
      <c r="O12" s="11"/>
      <c r="P12" s="11" t="s">
        <v>226</v>
      </c>
      <c r="Q12" s="10" t="s">
        <v>227</v>
      </c>
      <c r="R12" s="12" t="n">
        <v>139</v>
      </c>
      <c r="S12" s="17" t="s">
        <v>16</v>
      </c>
      <c r="T12" s="11" t="s">
        <v>228</v>
      </c>
      <c r="U12" s="11" t="s">
        <v>229</v>
      </c>
      <c r="V12" s="10" t="s">
        <v>230</v>
      </c>
      <c r="W12" s="12" t="n">
        <v>90</v>
      </c>
      <c r="X12" s="17" t="s">
        <v>16</v>
      </c>
      <c r="Y12" s="11" t="s">
        <v>231</v>
      </c>
      <c r="Z12" s="10" t="n">
        <f aca="false">IF(ISNUMBER(J12),IF(J12&gt;=100*C12,1,0),0)+IF(ISNUMBER(R12),IF(R12&gt;=100*C12,1,0),0)+IF(ISNUMBER(W12),IF(W12&gt;=100*C12,1,0),0)</f>
        <v>2</v>
      </c>
    </row>
    <row r="13" customFormat="false" ht="22.35" hidden="false" customHeight="false" outlineLevel="0" collapsed="false">
      <c r="A13" s="10" t="n">
        <v>82</v>
      </c>
      <c r="B13" s="11" t="s">
        <v>232</v>
      </c>
      <c r="C13" s="10" t="n">
        <v>1</v>
      </c>
      <c r="D13" s="11" t="s">
        <v>233</v>
      </c>
      <c r="E13" s="11" t="s">
        <v>234</v>
      </c>
      <c r="F13" s="11" t="s">
        <v>235</v>
      </c>
      <c r="G13" s="10" t="s">
        <v>236</v>
      </c>
      <c r="H13" s="10" t="s">
        <v>237</v>
      </c>
      <c r="I13" s="10" t="s">
        <v>27</v>
      </c>
      <c r="J13" s="12" t="n">
        <v>564</v>
      </c>
      <c r="K13" s="12" t="n">
        <f aca="false">IF(ISNUMBER(J13),INT(J13/C13),0)</f>
        <v>564</v>
      </c>
      <c r="L13" s="13" t="n">
        <v>2.9236</v>
      </c>
      <c r="M13" s="16" t="s">
        <v>9</v>
      </c>
      <c r="N13" s="11" t="s">
        <v>238</v>
      </c>
      <c r="O13" s="11"/>
      <c r="P13" s="11" t="s">
        <v>239</v>
      </c>
      <c r="Q13" s="10" t="s">
        <v>240</v>
      </c>
      <c r="R13" s="12" t="n">
        <v>12</v>
      </c>
      <c r="S13" s="15" t="s">
        <v>18</v>
      </c>
      <c r="T13" s="11" t="s">
        <v>241</v>
      </c>
      <c r="U13" s="11"/>
      <c r="V13" s="10"/>
      <c r="W13" s="12"/>
      <c r="X13" s="18"/>
      <c r="Y13" s="11" t="s">
        <v>208</v>
      </c>
      <c r="Z13" s="10" t="n">
        <f aca="false">IF(ISNUMBER(J13),IF(J13&gt;=100*C13,1,0),0)+IF(ISNUMBER(R13),IF(R13&gt;=100*C13,1,0),0)+IF(ISNUMBER(W13),IF(W13&gt;=100*C13,1,0),0)</f>
        <v>1</v>
      </c>
    </row>
    <row r="14" customFormat="false" ht="22.35" hidden="false" customHeight="false" outlineLevel="0" collapsed="false">
      <c r="A14" s="10" t="n">
        <v>87</v>
      </c>
      <c r="B14" s="11" t="s">
        <v>242</v>
      </c>
      <c r="C14" s="10" t="n">
        <v>1</v>
      </c>
      <c r="D14" s="11" t="s">
        <v>243</v>
      </c>
      <c r="E14" s="11" t="s">
        <v>244</v>
      </c>
      <c r="F14" s="11" t="s">
        <v>245</v>
      </c>
      <c r="G14" s="10" t="s">
        <v>246</v>
      </c>
      <c r="H14" s="10" t="s">
        <v>247</v>
      </c>
      <c r="I14" s="10" t="s">
        <v>248</v>
      </c>
      <c r="J14" s="12" t="n">
        <v>40345</v>
      </c>
      <c r="K14" s="12" t="n">
        <f aca="false">IF(ISNUMBER(J14),INT(J14/C14),0)</f>
        <v>40345</v>
      </c>
      <c r="L14" s="13"/>
      <c r="M14" s="16" t="s">
        <v>9</v>
      </c>
      <c r="N14" s="11" t="s">
        <v>238</v>
      </c>
      <c r="O14" s="11"/>
      <c r="P14" s="11"/>
      <c r="Q14" s="10"/>
      <c r="R14" s="12"/>
      <c r="S14" s="18"/>
      <c r="T14" s="11" t="s">
        <v>249</v>
      </c>
      <c r="U14" s="11"/>
      <c r="V14" s="10"/>
      <c r="W14" s="12"/>
      <c r="X14" s="18"/>
      <c r="Y14" s="11" t="s">
        <v>208</v>
      </c>
      <c r="Z14" s="10" t="n">
        <f aca="false">IF(ISNUMBER(J14),IF(J14&gt;=100*C14,1,0),0)+IF(ISNUMBER(R14),IF(R14&gt;=100*C14,1,0),0)+IF(ISNUMBER(W14),IF(W14&gt;=100*C14,1,0),0)</f>
        <v>1</v>
      </c>
    </row>
    <row r="15" customFormat="false" ht="32.8" hidden="false" customHeight="false" outlineLevel="0" collapsed="false">
      <c r="A15" s="10" t="n">
        <v>2</v>
      </c>
      <c r="B15" s="11" t="s">
        <v>250</v>
      </c>
      <c r="C15" s="10" t="n">
        <v>13</v>
      </c>
      <c r="D15" s="11" t="s">
        <v>251</v>
      </c>
      <c r="E15" s="11" t="s">
        <v>252</v>
      </c>
      <c r="F15" s="11" t="s">
        <v>253</v>
      </c>
      <c r="G15" s="10" t="s">
        <v>254</v>
      </c>
      <c r="H15" s="10" t="s">
        <v>255</v>
      </c>
      <c r="I15" s="10" t="s">
        <v>256</v>
      </c>
      <c r="J15" s="12" t="n">
        <v>261555</v>
      </c>
      <c r="K15" s="12" t="n">
        <f aca="false">IF(ISNUMBER(J15),INT(J15/C15),0)</f>
        <v>20119</v>
      </c>
      <c r="L15" s="13" t="n">
        <v>0.0476</v>
      </c>
      <c r="M15" s="17" t="s">
        <v>11</v>
      </c>
      <c r="N15" s="11" t="s">
        <v>257</v>
      </c>
      <c r="O15" s="11"/>
      <c r="P15" s="11" t="s">
        <v>258</v>
      </c>
      <c r="Q15" s="10" t="s">
        <v>259</v>
      </c>
      <c r="R15" s="12" t="n">
        <v>25205</v>
      </c>
      <c r="S15" s="15" t="s">
        <v>18</v>
      </c>
      <c r="T15" s="11" t="s">
        <v>260</v>
      </c>
      <c r="U15" s="11" t="s">
        <v>261</v>
      </c>
      <c r="V15" s="10" t="s">
        <v>262</v>
      </c>
      <c r="W15" s="12" t="n">
        <v>30780</v>
      </c>
      <c r="X15" s="15" t="s">
        <v>18</v>
      </c>
      <c r="Y15" s="11" t="s">
        <v>263</v>
      </c>
      <c r="Z15" s="10" t="n">
        <f aca="false">IF(ISNUMBER(J15),IF(J15&gt;=100*C15,1,0),0)+IF(ISNUMBER(R15),IF(R15&gt;=100*C15,1,0),0)+IF(ISNUMBER(W15),IF(W15&gt;=100*C15,1,0),0)</f>
        <v>3</v>
      </c>
    </row>
    <row r="16" customFormat="false" ht="15" hidden="false" customHeight="false" outlineLevel="0" collapsed="false">
      <c r="A16" s="10" t="n">
        <v>3</v>
      </c>
      <c r="B16" s="11" t="s">
        <v>264</v>
      </c>
      <c r="C16" s="10" t="n">
        <v>2</v>
      </c>
      <c r="D16" s="11" t="s">
        <v>265</v>
      </c>
      <c r="E16" s="11" t="s">
        <v>266</v>
      </c>
      <c r="F16" s="11" t="s">
        <v>267</v>
      </c>
      <c r="G16" s="10" t="s">
        <v>268</v>
      </c>
      <c r="H16" s="10" t="s">
        <v>269</v>
      </c>
      <c r="I16" s="10" t="s">
        <v>270</v>
      </c>
      <c r="J16" s="12" t="n">
        <v>1977150</v>
      </c>
      <c r="K16" s="12" t="n">
        <f aca="false">IF(ISNUMBER(J16),INT(J16/C16),0)</f>
        <v>988575</v>
      </c>
      <c r="L16" s="13" t="n">
        <v>0.0058</v>
      </c>
      <c r="M16" s="17" t="s">
        <v>11</v>
      </c>
      <c r="N16" s="11" t="s">
        <v>257</v>
      </c>
      <c r="O16" s="11"/>
      <c r="P16" s="11" t="s">
        <v>271</v>
      </c>
      <c r="Q16" s="10" t="s">
        <v>272</v>
      </c>
      <c r="R16" s="12" t="n">
        <v>328150</v>
      </c>
      <c r="S16" s="15" t="s">
        <v>18</v>
      </c>
      <c r="T16" s="11" t="s">
        <v>273</v>
      </c>
      <c r="U16" s="11" t="s">
        <v>274</v>
      </c>
      <c r="V16" s="10" t="s">
        <v>275</v>
      </c>
      <c r="W16" s="12" t="n">
        <v>4980</v>
      </c>
      <c r="X16" s="15" t="s">
        <v>18</v>
      </c>
      <c r="Y16" s="11" t="s">
        <v>276</v>
      </c>
      <c r="Z16" s="10" t="n">
        <f aca="false">IF(ISNUMBER(J16),IF(J16&gt;=100*C16,1,0),0)+IF(ISNUMBER(R16),IF(R16&gt;=100*C16,1,0),0)+IF(ISNUMBER(W16),IF(W16&gt;=100*C16,1,0),0)</f>
        <v>3</v>
      </c>
    </row>
    <row r="17" customFormat="false" ht="22.35" hidden="false" customHeight="false" outlineLevel="0" collapsed="false">
      <c r="A17" s="10" t="n">
        <v>4</v>
      </c>
      <c r="B17" s="11" t="s">
        <v>277</v>
      </c>
      <c r="C17" s="10" t="n">
        <v>3</v>
      </c>
      <c r="D17" s="11" t="s">
        <v>278</v>
      </c>
      <c r="E17" s="11" t="s">
        <v>266</v>
      </c>
      <c r="F17" s="11" t="s">
        <v>267</v>
      </c>
      <c r="G17" s="10" t="s">
        <v>279</v>
      </c>
      <c r="H17" s="10" t="s">
        <v>204</v>
      </c>
      <c r="I17" s="10" t="s">
        <v>280</v>
      </c>
      <c r="J17" s="12" t="n">
        <v>6739100</v>
      </c>
      <c r="K17" s="12" t="n">
        <f aca="false">IF(ISNUMBER(J17),INT(J17/C17),0)</f>
        <v>2246366</v>
      </c>
      <c r="L17" s="13" t="n">
        <v>0.0067</v>
      </c>
      <c r="M17" s="17" t="s">
        <v>11</v>
      </c>
      <c r="N17" s="11" t="s">
        <v>257</v>
      </c>
      <c r="O17" s="11"/>
      <c r="P17" s="11" t="s">
        <v>281</v>
      </c>
      <c r="Q17" s="10" t="s">
        <v>282</v>
      </c>
      <c r="R17" s="12" t="n">
        <v>835700</v>
      </c>
      <c r="S17" s="15" t="s">
        <v>18</v>
      </c>
      <c r="T17" s="11" t="s">
        <v>283</v>
      </c>
      <c r="U17" s="11" t="s">
        <v>284</v>
      </c>
      <c r="V17" s="10" t="s">
        <v>285</v>
      </c>
      <c r="W17" s="12" t="n">
        <v>13120</v>
      </c>
      <c r="X17" s="15" t="s">
        <v>18</v>
      </c>
      <c r="Y17" s="11" t="s">
        <v>286</v>
      </c>
      <c r="Z17" s="10" t="n">
        <f aca="false">IF(ISNUMBER(J17),IF(J17&gt;=100*C17,1,0),0)+IF(ISNUMBER(R17),IF(R17&gt;=100*C17,1,0),0)+IF(ISNUMBER(W17),IF(W17&gt;=100*C17,1,0),0)</f>
        <v>3</v>
      </c>
    </row>
    <row r="18" customFormat="false" ht="15" hidden="false" customHeight="false" outlineLevel="0" collapsed="false">
      <c r="A18" s="10" t="n">
        <v>5</v>
      </c>
      <c r="B18" s="11" t="s">
        <v>287</v>
      </c>
      <c r="C18" s="10" t="n">
        <v>5</v>
      </c>
      <c r="D18" s="11" t="s">
        <v>288</v>
      </c>
      <c r="E18" s="11" t="s">
        <v>266</v>
      </c>
      <c r="F18" s="11" t="s">
        <v>267</v>
      </c>
      <c r="G18" s="10" t="s">
        <v>289</v>
      </c>
      <c r="H18" s="10" t="s">
        <v>290</v>
      </c>
      <c r="I18" s="10" t="s">
        <v>291</v>
      </c>
      <c r="J18" s="12" t="n">
        <v>2731000</v>
      </c>
      <c r="K18" s="12" t="n">
        <f aca="false">IF(ISNUMBER(J18),INT(J18/C18),0)</f>
        <v>546200</v>
      </c>
      <c r="L18" s="13" t="n">
        <v>0.0087</v>
      </c>
      <c r="M18" s="17" t="s">
        <v>11</v>
      </c>
      <c r="N18" s="11" t="s">
        <v>257</v>
      </c>
      <c r="O18" s="11"/>
      <c r="P18" s="11" t="s">
        <v>292</v>
      </c>
      <c r="Q18" s="10" t="s">
        <v>293</v>
      </c>
      <c r="R18" s="12" t="n">
        <v>774900</v>
      </c>
      <c r="S18" s="15" t="s">
        <v>18</v>
      </c>
      <c r="T18" s="11" t="s">
        <v>294</v>
      </c>
      <c r="U18" s="11" t="s">
        <v>295</v>
      </c>
      <c r="V18" s="10" t="s">
        <v>296</v>
      </c>
      <c r="W18" s="12" t="n">
        <v>23100</v>
      </c>
      <c r="X18" s="15" t="s">
        <v>18</v>
      </c>
      <c r="Y18" s="11" t="s">
        <v>297</v>
      </c>
      <c r="Z18" s="10" t="n">
        <f aca="false">IF(ISNUMBER(J18),IF(J18&gt;=100*C18,1,0),0)+IF(ISNUMBER(R18),IF(R18&gt;=100*C18,1,0),0)+IF(ISNUMBER(W18),IF(W18&gt;=100*C18,1,0),0)</f>
        <v>3</v>
      </c>
    </row>
    <row r="19" customFormat="false" ht="64.15" hidden="false" customHeight="false" outlineLevel="0" collapsed="false">
      <c r="A19" s="10" t="n">
        <v>6</v>
      </c>
      <c r="B19" s="11" t="s">
        <v>298</v>
      </c>
      <c r="C19" s="10" t="n">
        <v>28</v>
      </c>
      <c r="D19" s="11" t="s">
        <v>299</v>
      </c>
      <c r="E19" s="11" t="s">
        <v>300</v>
      </c>
      <c r="F19" s="11" t="s">
        <v>301</v>
      </c>
      <c r="G19" s="10" t="s">
        <v>64</v>
      </c>
      <c r="H19" s="10" t="s">
        <v>290</v>
      </c>
      <c r="I19" s="10" t="s">
        <v>63</v>
      </c>
      <c r="J19" s="12" t="n">
        <v>2343800</v>
      </c>
      <c r="K19" s="12" t="n">
        <f aca="false">IF(ISNUMBER(J19),INT(J19/C19),0)</f>
        <v>83707</v>
      </c>
      <c r="L19" s="13" t="n">
        <v>0.0049</v>
      </c>
      <c r="M19" s="17" t="s">
        <v>11</v>
      </c>
      <c r="N19" s="11" t="s">
        <v>257</v>
      </c>
      <c r="O19" s="11"/>
      <c r="P19" s="11" t="s">
        <v>302</v>
      </c>
      <c r="Q19" s="10" t="s">
        <v>303</v>
      </c>
      <c r="R19" s="12" t="n">
        <v>4590850</v>
      </c>
      <c r="S19" s="15" t="s">
        <v>18</v>
      </c>
      <c r="T19" s="11" t="s">
        <v>304</v>
      </c>
      <c r="U19" s="11" t="s">
        <v>305</v>
      </c>
      <c r="V19" s="10" t="s">
        <v>306</v>
      </c>
      <c r="W19" s="12" t="n">
        <v>1825760</v>
      </c>
      <c r="X19" s="15" t="s">
        <v>18</v>
      </c>
      <c r="Y19" s="11" t="s">
        <v>307</v>
      </c>
      <c r="Z19" s="10" t="n">
        <f aca="false">IF(ISNUMBER(J19),IF(J19&gt;=100*C19,1,0),0)+IF(ISNUMBER(R19),IF(R19&gt;=100*C19,1,0),0)+IF(ISNUMBER(W19),IF(W19&gt;=100*C19,1,0),0)</f>
        <v>3</v>
      </c>
    </row>
    <row r="20" customFormat="false" ht="22.35" hidden="false" customHeight="false" outlineLevel="0" collapsed="false">
      <c r="A20" s="10" t="n">
        <v>7</v>
      </c>
      <c r="B20" s="11" t="s">
        <v>308</v>
      </c>
      <c r="C20" s="10" t="n">
        <v>9</v>
      </c>
      <c r="D20" s="11" t="s">
        <v>309</v>
      </c>
      <c r="E20" s="11" t="s">
        <v>310</v>
      </c>
      <c r="F20" s="11" t="s">
        <v>311</v>
      </c>
      <c r="G20" s="10" t="s">
        <v>312</v>
      </c>
      <c r="H20" s="10" t="s">
        <v>290</v>
      </c>
      <c r="I20" s="10" t="s">
        <v>313</v>
      </c>
      <c r="J20" s="12" t="n">
        <v>3082660</v>
      </c>
      <c r="K20" s="12" t="n">
        <f aca="false">IF(ISNUMBER(J20),INT(J20/C20),0)</f>
        <v>342517</v>
      </c>
      <c r="L20" s="13" t="n">
        <v>0.0528</v>
      </c>
      <c r="M20" s="17" t="s">
        <v>11</v>
      </c>
      <c r="N20" s="11" t="s">
        <v>257</v>
      </c>
      <c r="O20" s="11"/>
      <c r="P20" s="11" t="s">
        <v>314</v>
      </c>
      <c r="Q20" s="10" t="s">
        <v>315</v>
      </c>
      <c r="R20" s="12" t="n">
        <v>100165</v>
      </c>
      <c r="S20" s="15" t="s">
        <v>18</v>
      </c>
      <c r="T20" s="11" t="s">
        <v>316</v>
      </c>
      <c r="U20" s="11" t="s">
        <v>317</v>
      </c>
      <c r="V20" s="10" t="s">
        <v>318</v>
      </c>
      <c r="W20" s="12" t="n">
        <v>99525</v>
      </c>
      <c r="X20" s="15" t="s">
        <v>18</v>
      </c>
      <c r="Y20" s="11" t="s">
        <v>319</v>
      </c>
      <c r="Z20" s="10" t="n">
        <f aca="false">IF(ISNUMBER(J20),IF(J20&gt;=100*C20,1,0),0)+IF(ISNUMBER(R20),IF(R20&gt;=100*C20,1,0),0)+IF(ISNUMBER(W20),IF(W20&gt;=100*C20,1,0),0)</f>
        <v>3</v>
      </c>
    </row>
    <row r="21" customFormat="false" ht="22.35" hidden="false" customHeight="false" outlineLevel="0" collapsed="false">
      <c r="A21" s="10" t="n">
        <v>8</v>
      </c>
      <c r="B21" s="11" t="s">
        <v>320</v>
      </c>
      <c r="C21" s="10" t="n">
        <v>2</v>
      </c>
      <c r="D21" s="11" t="s">
        <v>321</v>
      </c>
      <c r="E21" s="11" t="s">
        <v>310</v>
      </c>
      <c r="F21" s="11" t="s">
        <v>311</v>
      </c>
      <c r="G21" s="10" t="s">
        <v>322</v>
      </c>
      <c r="H21" s="10" t="s">
        <v>290</v>
      </c>
      <c r="I21" s="10" t="s">
        <v>323</v>
      </c>
      <c r="J21" s="12" t="n">
        <v>100080</v>
      </c>
      <c r="K21" s="12" t="n">
        <f aca="false">IF(ISNUMBER(J21),INT(J21/C21),0)</f>
        <v>50040</v>
      </c>
      <c r="L21" s="13" t="n">
        <v>0.1061</v>
      </c>
      <c r="M21" s="17" t="s">
        <v>11</v>
      </c>
      <c r="N21" s="11" t="s">
        <v>257</v>
      </c>
      <c r="O21" s="11"/>
      <c r="P21" s="11" t="s">
        <v>324</v>
      </c>
      <c r="Q21" s="10" t="s">
        <v>325</v>
      </c>
      <c r="R21" s="12" t="n">
        <v>131690</v>
      </c>
      <c r="S21" s="15" t="s">
        <v>18</v>
      </c>
      <c r="T21" s="11" t="s">
        <v>326</v>
      </c>
      <c r="U21" s="11" t="s">
        <v>327</v>
      </c>
      <c r="V21" s="10" t="s">
        <v>328</v>
      </c>
      <c r="W21" s="12" t="n">
        <v>85780</v>
      </c>
      <c r="X21" s="15" t="s">
        <v>18</v>
      </c>
      <c r="Y21" s="11" t="s">
        <v>329</v>
      </c>
      <c r="Z21" s="10" t="n">
        <f aca="false">IF(ISNUMBER(J21),IF(J21&gt;=100*C21,1,0),0)+IF(ISNUMBER(R21),IF(R21&gt;=100*C21,1,0),0)+IF(ISNUMBER(W21),IF(W21&gt;=100*C21,1,0),0)</f>
        <v>3</v>
      </c>
    </row>
    <row r="22" customFormat="false" ht="22.35" hidden="false" customHeight="false" outlineLevel="0" collapsed="false">
      <c r="A22" s="10" t="n">
        <v>9</v>
      </c>
      <c r="B22" s="11" t="s">
        <v>330</v>
      </c>
      <c r="C22" s="10" t="n">
        <v>4</v>
      </c>
      <c r="D22" s="11" t="s">
        <v>331</v>
      </c>
      <c r="E22" s="11" t="s">
        <v>300</v>
      </c>
      <c r="F22" s="11" t="s">
        <v>301</v>
      </c>
      <c r="G22" s="10" t="s">
        <v>332</v>
      </c>
      <c r="H22" s="10" t="s">
        <v>333</v>
      </c>
      <c r="I22" s="10" t="s">
        <v>36</v>
      </c>
      <c r="J22" s="12" t="n">
        <v>179400</v>
      </c>
      <c r="K22" s="12" t="n">
        <f aca="false">IF(ISNUMBER(J22),INT(J22/C22),0)</f>
        <v>44850</v>
      </c>
      <c r="L22" s="13" t="n">
        <v>0.0099</v>
      </c>
      <c r="M22" s="17" t="s">
        <v>11</v>
      </c>
      <c r="N22" s="11" t="s">
        <v>257</v>
      </c>
      <c r="O22" s="11"/>
      <c r="P22" s="11" t="s">
        <v>334</v>
      </c>
      <c r="Q22" s="10" t="s">
        <v>335</v>
      </c>
      <c r="R22" s="12" t="n">
        <v>32180</v>
      </c>
      <c r="S22" s="15" t="s">
        <v>18</v>
      </c>
      <c r="T22" s="11" t="s">
        <v>336</v>
      </c>
      <c r="U22" s="11"/>
      <c r="V22" s="10"/>
      <c r="W22" s="12"/>
      <c r="X22" s="18"/>
      <c r="Y22" s="11" t="s">
        <v>208</v>
      </c>
      <c r="Z22" s="10" t="n">
        <f aca="false">IF(ISNUMBER(J22),IF(J22&gt;=100*C22,1,0),0)+IF(ISNUMBER(R22),IF(R22&gt;=100*C22,1,0),0)+IF(ISNUMBER(W22),IF(W22&gt;=100*C22,1,0),0)</f>
        <v>2</v>
      </c>
    </row>
    <row r="23" customFormat="false" ht="22.35" hidden="false" customHeight="false" outlineLevel="0" collapsed="false">
      <c r="A23" s="10" t="n">
        <v>10</v>
      </c>
      <c r="B23" s="11" t="s">
        <v>337</v>
      </c>
      <c r="C23" s="10" t="n">
        <v>1</v>
      </c>
      <c r="D23" s="11" t="s">
        <v>338</v>
      </c>
      <c r="E23" s="11" t="s">
        <v>266</v>
      </c>
      <c r="F23" s="11" t="s">
        <v>267</v>
      </c>
      <c r="G23" s="10" t="s">
        <v>339</v>
      </c>
      <c r="H23" s="10" t="s">
        <v>290</v>
      </c>
      <c r="I23" s="10" t="s">
        <v>340</v>
      </c>
      <c r="J23" s="12" t="n">
        <v>584680</v>
      </c>
      <c r="K23" s="12" t="n">
        <f aca="false">IF(ISNUMBER(J23),INT(J23/C23),0)</f>
        <v>584680</v>
      </c>
      <c r="L23" s="13" t="n">
        <v>0.0114</v>
      </c>
      <c r="M23" s="17" t="s">
        <v>11</v>
      </c>
      <c r="N23" s="11" t="s">
        <v>257</v>
      </c>
      <c r="O23" s="11"/>
      <c r="P23" s="11" t="s">
        <v>341</v>
      </c>
      <c r="Q23" s="10" t="s">
        <v>342</v>
      </c>
      <c r="R23" s="12" t="n">
        <v>157460</v>
      </c>
      <c r="S23" s="15" t="s">
        <v>18</v>
      </c>
      <c r="T23" s="11" t="s">
        <v>343</v>
      </c>
      <c r="U23" s="11" t="s">
        <v>344</v>
      </c>
      <c r="V23" s="10" t="s">
        <v>345</v>
      </c>
      <c r="W23" s="12" t="n">
        <v>106410</v>
      </c>
      <c r="X23" s="15" t="s">
        <v>18</v>
      </c>
      <c r="Y23" s="11" t="s">
        <v>346</v>
      </c>
      <c r="Z23" s="10" t="n">
        <f aca="false">IF(ISNUMBER(J23),IF(J23&gt;=100*C23,1,0),0)+IF(ISNUMBER(R23),IF(R23&gt;=100*C23,1,0),0)+IF(ISNUMBER(W23),IF(W23&gt;=100*C23,1,0),0)</f>
        <v>3</v>
      </c>
    </row>
    <row r="24" customFormat="false" ht="15" hidden="false" customHeight="false" outlineLevel="0" collapsed="false">
      <c r="A24" s="10" t="n">
        <v>11</v>
      </c>
      <c r="B24" s="11" t="s">
        <v>347</v>
      </c>
      <c r="C24" s="10" t="n">
        <v>2</v>
      </c>
      <c r="D24" s="11" t="s">
        <v>348</v>
      </c>
      <c r="E24" s="11" t="s">
        <v>300</v>
      </c>
      <c r="F24" s="11" t="s">
        <v>301</v>
      </c>
      <c r="G24" s="10" t="s">
        <v>349</v>
      </c>
      <c r="H24" s="10" t="s">
        <v>269</v>
      </c>
      <c r="I24" s="10" t="s">
        <v>350</v>
      </c>
      <c r="J24" s="12" t="n">
        <v>1236600</v>
      </c>
      <c r="K24" s="12" t="n">
        <f aca="false">IF(ISNUMBER(J24),INT(J24/C24),0)</f>
        <v>618300</v>
      </c>
      <c r="L24" s="13" t="n">
        <v>0.0013</v>
      </c>
      <c r="M24" s="17" t="s">
        <v>11</v>
      </c>
      <c r="N24" s="11" t="s">
        <v>257</v>
      </c>
      <c r="O24" s="11"/>
      <c r="P24" s="11" t="s">
        <v>351</v>
      </c>
      <c r="Q24" s="10" t="s">
        <v>352</v>
      </c>
      <c r="R24" s="12" t="n">
        <v>145100</v>
      </c>
      <c r="S24" s="15" t="s">
        <v>18</v>
      </c>
      <c r="T24" s="11" t="s">
        <v>353</v>
      </c>
      <c r="U24" s="11" t="s">
        <v>354</v>
      </c>
      <c r="V24" s="10" t="s">
        <v>355</v>
      </c>
      <c r="W24" s="12" t="n">
        <v>6900</v>
      </c>
      <c r="X24" s="15" t="s">
        <v>18</v>
      </c>
      <c r="Y24" s="11" t="s">
        <v>356</v>
      </c>
      <c r="Z24" s="10" t="n">
        <f aca="false">IF(ISNUMBER(J24),IF(J24&gt;=100*C24,1,0),0)+IF(ISNUMBER(R24),IF(R24&gt;=100*C24,1,0),0)+IF(ISNUMBER(W24),IF(W24&gt;=100*C24,1,0),0)</f>
        <v>3</v>
      </c>
    </row>
    <row r="25" customFormat="false" ht="15" hidden="false" customHeight="false" outlineLevel="0" collapsed="false">
      <c r="A25" s="10" t="n">
        <v>12</v>
      </c>
      <c r="B25" s="11" t="s">
        <v>357</v>
      </c>
      <c r="C25" s="10" t="n">
        <v>5</v>
      </c>
      <c r="D25" s="11" t="s">
        <v>358</v>
      </c>
      <c r="E25" s="11" t="s">
        <v>300</v>
      </c>
      <c r="F25" s="11" t="s">
        <v>301</v>
      </c>
      <c r="G25" s="10" t="s">
        <v>359</v>
      </c>
      <c r="H25" s="10" t="s">
        <v>204</v>
      </c>
      <c r="I25" s="10" t="s">
        <v>360</v>
      </c>
      <c r="J25" s="12" t="n">
        <v>60500</v>
      </c>
      <c r="K25" s="12" t="n">
        <f aca="false">IF(ISNUMBER(J25),INT(J25/C25),0)</f>
        <v>12100</v>
      </c>
      <c r="L25" s="13" t="n">
        <v>0.0096</v>
      </c>
      <c r="M25" s="17" t="s">
        <v>11</v>
      </c>
      <c r="N25" s="11" t="s">
        <v>257</v>
      </c>
      <c r="O25" s="11"/>
      <c r="P25" s="11" t="s">
        <v>361</v>
      </c>
      <c r="Q25" s="10" t="s">
        <v>362</v>
      </c>
      <c r="R25" s="12" t="n">
        <v>158300</v>
      </c>
      <c r="S25" s="15" t="s">
        <v>18</v>
      </c>
      <c r="T25" s="11" t="s">
        <v>363</v>
      </c>
      <c r="U25" s="11" t="s">
        <v>364</v>
      </c>
      <c r="V25" s="10" t="s">
        <v>365</v>
      </c>
      <c r="W25" s="12" t="n">
        <v>12750</v>
      </c>
      <c r="X25" s="15" t="s">
        <v>18</v>
      </c>
      <c r="Y25" s="11" t="s">
        <v>366</v>
      </c>
      <c r="Z25" s="10" t="n">
        <f aca="false">IF(ISNUMBER(J25),IF(J25&gt;=100*C25,1,0),0)+IF(ISNUMBER(R25),IF(R25&gt;=100*C25,1,0),0)+IF(ISNUMBER(W25),IF(W25&gt;=100*C25,1,0),0)</f>
        <v>3</v>
      </c>
    </row>
    <row r="26" customFormat="false" ht="22.35" hidden="false" customHeight="false" outlineLevel="0" collapsed="false">
      <c r="A26" s="10" t="n">
        <v>13</v>
      </c>
      <c r="B26" s="11" t="s">
        <v>367</v>
      </c>
      <c r="C26" s="10" t="n">
        <v>1</v>
      </c>
      <c r="D26" s="11" t="s">
        <v>368</v>
      </c>
      <c r="E26" s="11" t="s">
        <v>300</v>
      </c>
      <c r="F26" s="11" t="s">
        <v>301</v>
      </c>
      <c r="G26" s="10" t="s">
        <v>369</v>
      </c>
      <c r="H26" s="10" t="s">
        <v>204</v>
      </c>
      <c r="I26" s="10" t="s">
        <v>370</v>
      </c>
      <c r="J26" s="12" t="n">
        <v>349500</v>
      </c>
      <c r="K26" s="12" t="n">
        <f aca="false">IF(ISNUMBER(J26),INT(J26/C26),0)</f>
        <v>349500</v>
      </c>
      <c r="L26" s="13" t="n">
        <v>0.0021</v>
      </c>
      <c r="M26" s="17" t="s">
        <v>11</v>
      </c>
      <c r="N26" s="11" t="s">
        <v>257</v>
      </c>
      <c r="O26" s="11"/>
      <c r="P26" s="11" t="s">
        <v>371</v>
      </c>
      <c r="Q26" s="10" t="s">
        <v>372</v>
      </c>
      <c r="R26" s="12" t="n">
        <v>74200</v>
      </c>
      <c r="S26" s="15" t="s">
        <v>18</v>
      </c>
      <c r="T26" s="11" t="s">
        <v>373</v>
      </c>
      <c r="U26" s="11" t="s">
        <v>374</v>
      </c>
      <c r="V26" s="10" t="s">
        <v>375</v>
      </c>
      <c r="W26" s="12" t="n">
        <v>2700</v>
      </c>
      <c r="X26" s="15" t="s">
        <v>18</v>
      </c>
      <c r="Y26" s="11" t="s">
        <v>376</v>
      </c>
      <c r="Z26" s="10" t="n">
        <f aca="false">IF(ISNUMBER(J26),IF(J26&gt;=100*C26,1,0),0)+IF(ISNUMBER(R26),IF(R26&gt;=100*C26,1,0),0)+IF(ISNUMBER(W26),IF(W26&gt;=100*C26,1,0),0)</f>
        <v>3</v>
      </c>
    </row>
    <row r="27" customFormat="false" ht="22.35" hidden="false" customHeight="false" outlineLevel="0" collapsed="false">
      <c r="A27" s="10" t="n">
        <v>14</v>
      </c>
      <c r="B27" s="11" t="s">
        <v>377</v>
      </c>
      <c r="C27" s="10" t="n">
        <v>1</v>
      </c>
      <c r="D27" s="11" t="s">
        <v>378</v>
      </c>
      <c r="E27" s="11" t="s">
        <v>300</v>
      </c>
      <c r="F27" s="11" t="s">
        <v>301</v>
      </c>
      <c r="G27" s="10" t="s">
        <v>379</v>
      </c>
      <c r="H27" s="10" t="s">
        <v>380</v>
      </c>
      <c r="I27" s="10" t="s">
        <v>381</v>
      </c>
      <c r="J27" s="12" t="n">
        <v>52755</v>
      </c>
      <c r="K27" s="12" t="n">
        <f aca="false">IF(ISNUMBER(J27),INT(J27/C27),0)</f>
        <v>52755</v>
      </c>
      <c r="L27" s="13" t="n">
        <v>0.06</v>
      </c>
      <c r="M27" s="17" t="s">
        <v>11</v>
      </c>
      <c r="N27" s="11" t="s">
        <v>257</v>
      </c>
      <c r="O27" s="11"/>
      <c r="P27" s="11" t="s">
        <v>382</v>
      </c>
      <c r="Q27" s="10" t="s">
        <v>383</v>
      </c>
      <c r="R27" s="12" t="n">
        <v>65320</v>
      </c>
      <c r="S27" s="15" t="s">
        <v>18</v>
      </c>
      <c r="T27" s="11" t="s">
        <v>384</v>
      </c>
      <c r="U27" s="11" t="s">
        <v>385</v>
      </c>
      <c r="V27" s="10" t="s">
        <v>386</v>
      </c>
      <c r="W27" s="12" t="n">
        <v>10855</v>
      </c>
      <c r="X27" s="15" t="s">
        <v>18</v>
      </c>
      <c r="Y27" s="11" t="s">
        <v>387</v>
      </c>
      <c r="Z27" s="10" t="n">
        <f aca="false">IF(ISNUMBER(J27),IF(J27&gt;=100*C27,1,0),0)+IF(ISNUMBER(R27),IF(R27&gt;=100*C27,1,0),0)+IF(ISNUMBER(W27),IF(W27&gt;=100*C27,1,0),0)</f>
        <v>3</v>
      </c>
    </row>
    <row r="28" customFormat="false" ht="15" hidden="false" customHeight="false" outlineLevel="0" collapsed="false">
      <c r="A28" s="10" t="n">
        <v>15</v>
      </c>
      <c r="B28" s="11" t="s">
        <v>388</v>
      </c>
      <c r="C28" s="10" t="n">
        <v>1</v>
      </c>
      <c r="D28" s="11" t="s">
        <v>389</v>
      </c>
      <c r="E28" s="11" t="s">
        <v>266</v>
      </c>
      <c r="F28" s="11" t="s">
        <v>267</v>
      </c>
      <c r="G28" s="10" t="s">
        <v>390</v>
      </c>
      <c r="H28" s="10" t="s">
        <v>269</v>
      </c>
      <c r="I28" s="10" t="s">
        <v>391</v>
      </c>
      <c r="J28" s="12" t="n">
        <v>309050</v>
      </c>
      <c r="K28" s="12" t="n">
        <f aca="false">IF(ISNUMBER(J28),INT(J28/C28),0)</f>
        <v>309050</v>
      </c>
      <c r="L28" s="13" t="n">
        <v>0.0027</v>
      </c>
      <c r="M28" s="17" t="s">
        <v>11</v>
      </c>
      <c r="N28" s="11" t="s">
        <v>257</v>
      </c>
      <c r="O28" s="11"/>
      <c r="P28" s="11" t="s">
        <v>392</v>
      </c>
      <c r="Q28" s="10" t="s">
        <v>393</v>
      </c>
      <c r="R28" s="12" t="n">
        <v>14250</v>
      </c>
      <c r="S28" s="15" t="s">
        <v>18</v>
      </c>
      <c r="T28" s="11" t="s">
        <v>394</v>
      </c>
      <c r="U28" s="11" t="s">
        <v>395</v>
      </c>
      <c r="V28" s="10" t="s">
        <v>396</v>
      </c>
      <c r="W28" s="12" t="n">
        <v>9300</v>
      </c>
      <c r="X28" s="15" t="s">
        <v>18</v>
      </c>
      <c r="Y28" s="11" t="s">
        <v>397</v>
      </c>
      <c r="Z28" s="10" t="n">
        <f aca="false">IF(ISNUMBER(J28),IF(J28&gt;=100*C28,1,0),0)+IF(ISNUMBER(R28),IF(R28&gt;=100*C28,1,0),0)+IF(ISNUMBER(W28),IF(W28&gt;=100*C28,1,0),0)</f>
        <v>3</v>
      </c>
    </row>
    <row r="29" customFormat="false" ht="22.35" hidden="false" customHeight="false" outlineLevel="0" collapsed="false">
      <c r="A29" s="10" t="n">
        <v>16</v>
      </c>
      <c r="B29" s="11" t="s">
        <v>398</v>
      </c>
      <c r="C29" s="10" t="n">
        <v>2</v>
      </c>
      <c r="D29" s="11" t="s">
        <v>399</v>
      </c>
      <c r="E29" s="11" t="s">
        <v>300</v>
      </c>
      <c r="F29" s="11" t="s">
        <v>301</v>
      </c>
      <c r="G29" s="10" t="s">
        <v>400</v>
      </c>
      <c r="H29" s="10" t="s">
        <v>204</v>
      </c>
      <c r="I29" s="10" t="s">
        <v>401</v>
      </c>
      <c r="J29" s="12" t="n">
        <v>483000</v>
      </c>
      <c r="K29" s="12" t="n">
        <f aca="false">IF(ISNUMBER(J29),INT(J29/C29),0)</f>
        <v>241500</v>
      </c>
      <c r="L29" s="13" t="n">
        <v>0.0024</v>
      </c>
      <c r="M29" s="17" t="s">
        <v>11</v>
      </c>
      <c r="N29" s="11" t="s">
        <v>257</v>
      </c>
      <c r="O29" s="11"/>
      <c r="P29" s="11" t="s">
        <v>402</v>
      </c>
      <c r="Q29" s="10" t="s">
        <v>403</v>
      </c>
      <c r="R29" s="12" t="n">
        <v>33400</v>
      </c>
      <c r="S29" s="15" t="s">
        <v>18</v>
      </c>
      <c r="T29" s="11" t="s">
        <v>404</v>
      </c>
      <c r="U29" s="11" t="s">
        <v>405</v>
      </c>
      <c r="V29" s="10" t="s">
        <v>406</v>
      </c>
      <c r="W29" s="12" t="n">
        <v>27400</v>
      </c>
      <c r="X29" s="15" t="s">
        <v>18</v>
      </c>
      <c r="Y29" s="11" t="s">
        <v>407</v>
      </c>
      <c r="Z29" s="10" t="n">
        <f aca="false">IF(ISNUMBER(J29),IF(J29&gt;=100*C29,1,0),0)+IF(ISNUMBER(R29),IF(R29&gt;=100*C29,1,0),0)+IF(ISNUMBER(W29),IF(W29&gt;=100*C29,1,0),0)</f>
        <v>3</v>
      </c>
    </row>
    <row r="30" customFormat="false" ht="22.35" hidden="false" customHeight="false" outlineLevel="0" collapsed="false">
      <c r="A30" s="10" t="n">
        <v>17</v>
      </c>
      <c r="B30" s="11" t="s">
        <v>408</v>
      </c>
      <c r="C30" s="10" t="n">
        <v>1</v>
      </c>
      <c r="D30" s="11" t="s">
        <v>409</v>
      </c>
      <c r="E30" s="11" t="s">
        <v>310</v>
      </c>
      <c r="F30" s="11" t="s">
        <v>311</v>
      </c>
      <c r="G30" s="10" t="s">
        <v>410</v>
      </c>
      <c r="H30" s="10" t="s">
        <v>411</v>
      </c>
      <c r="I30" s="10" t="s">
        <v>54</v>
      </c>
      <c r="J30" s="12" t="n">
        <v>2403</v>
      </c>
      <c r="K30" s="12" t="n">
        <f aca="false">IF(ISNUMBER(J30),INT(J30/C30),0)</f>
        <v>2403</v>
      </c>
      <c r="L30" s="13" t="n">
        <v>0.4834</v>
      </c>
      <c r="M30" s="17" t="s">
        <v>11</v>
      </c>
      <c r="N30" s="11" t="s">
        <v>257</v>
      </c>
      <c r="O30" s="11"/>
      <c r="P30" s="11" t="s">
        <v>412</v>
      </c>
      <c r="Q30" s="10" t="s">
        <v>413</v>
      </c>
      <c r="R30" s="12" t="n">
        <v>830</v>
      </c>
      <c r="S30" s="17" t="s">
        <v>16</v>
      </c>
      <c r="T30" s="11" t="s">
        <v>414</v>
      </c>
      <c r="U30" s="11" t="s">
        <v>415</v>
      </c>
      <c r="V30" s="10" t="s">
        <v>416</v>
      </c>
      <c r="W30" s="12" t="n">
        <v>23600</v>
      </c>
      <c r="X30" s="15" t="s">
        <v>18</v>
      </c>
      <c r="Y30" s="11" t="s">
        <v>417</v>
      </c>
      <c r="Z30" s="10" t="n">
        <f aca="false">IF(ISNUMBER(J30),IF(J30&gt;=100*C30,1,0),0)+IF(ISNUMBER(R30),IF(R30&gt;=100*C30,1,0),0)+IF(ISNUMBER(W30),IF(W30&gt;=100*C30,1,0),0)</f>
        <v>3</v>
      </c>
    </row>
    <row r="31" customFormat="false" ht="15" hidden="false" customHeight="false" outlineLevel="0" collapsed="false">
      <c r="A31" s="10" t="n">
        <v>18</v>
      </c>
      <c r="B31" s="11" t="s">
        <v>418</v>
      </c>
      <c r="C31" s="10" t="n">
        <v>1</v>
      </c>
      <c r="D31" s="11" t="s">
        <v>419</v>
      </c>
      <c r="E31" s="11" t="s">
        <v>266</v>
      </c>
      <c r="F31" s="11" t="s">
        <v>267</v>
      </c>
      <c r="G31" s="10" t="s">
        <v>420</v>
      </c>
      <c r="H31" s="10" t="s">
        <v>204</v>
      </c>
      <c r="I31" s="10" t="s">
        <v>421</v>
      </c>
      <c r="J31" s="12" t="n">
        <v>80950</v>
      </c>
      <c r="K31" s="12" t="n">
        <f aca="false">IF(ISNUMBER(J31),INT(J31/C31),0)</f>
        <v>80950</v>
      </c>
      <c r="L31" s="13" t="n">
        <v>0.008</v>
      </c>
      <c r="M31" s="17" t="s">
        <v>11</v>
      </c>
      <c r="N31" s="11" t="s">
        <v>257</v>
      </c>
      <c r="O31" s="11"/>
      <c r="P31" s="11" t="s">
        <v>392</v>
      </c>
      <c r="Q31" s="10" t="s">
        <v>393</v>
      </c>
      <c r="R31" s="12" t="n">
        <v>14250</v>
      </c>
      <c r="S31" s="15" t="s">
        <v>18</v>
      </c>
      <c r="T31" s="11" t="s">
        <v>394</v>
      </c>
      <c r="U31" s="11" t="s">
        <v>422</v>
      </c>
      <c r="V31" s="10" t="s">
        <v>423</v>
      </c>
      <c r="W31" s="12" t="n">
        <v>2600</v>
      </c>
      <c r="X31" s="15" t="s">
        <v>18</v>
      </c>
      <c r="Y31" s="11" t="s">
        <v>424</v>
      </c>
      <c r="Z31" s="10" t="n">
        <f aca="false">IF(ISNUMBER(J31),IF(J31&gt;=100*C31,1,0),0)+IF(ISNUMBER(R31),IF(R31&gt;=100*C31,1,0),0)+IF(ISNUMBER(W31),IF(W31&gt;=100*C31,1,0),0)</f>
        <v>3</v>
      </c>
    </row>
    <row r="32" customFormat="false" ht="15" hidden="false" customHeight="false" outlineLevel="0" collapsed="false">
      <c r="A32" s="10" t="n">
        <v>20</v>
      </c>
      <c r="B32" s="11" t="s">
        <v>425</v>
      </c>
      <c r="C32" s="10" t="n">
        <v>1</v>
      </c>
      <c r="D32" s="11" t="s">
        <v>426</v>
      </c>
      <c r="E32" s="11" t="s">
        <v>427</v>
      </c>
      <c r="F32" s="11" t="s">
        <v>428</v>
      </c>
      <c r="G32" s="10" t="s">
        <v>426</v>
      </c>
      <c r="H32" s="10" t="s">
        <v>429</v>
      </c>
      <c r="I32" s="10" t="s">
        <v>430</v>
      </c>
      <c r="J32" s="12" t="n">
        <v>9260</v>
      </c>
      <c r="K32" s="12" t="n">
        <f aca="false">IF(ISNUMBER(J32),INT(J32/C32),0)</f>
        <v>9260</v>
      </c>
      <c r="L32" s="13" t="n">
        <v>0.0163</v>
      </c>
      <c r="M32" s="17" t="s">
        <v>11</v>
      </c>
      <c r="N32" s="11" t="s">
        <v>257</v>
      </c>
      <c r="O32" s="11"/>
      <c r="P32" s="11" t="s">
        <v>431</v>
      </c>
      <c r="Q32" s="10" t="s">
        <v>432</v>
      </c>
      <c r="R32" s="12" t="n">
        <v>7885</v>
      </c>
      <c r="S32" s="15" t="s">
        <v>18</v>
      </c>
      <c r="T32" s="11" t="s">
        <v>433</v>
      </c>
      <c r="U32" s="11" t="s">
        <v>434</v>
      </c>
      <c r="V32" s="10" t="s">
        <v>435</v>
      </c>
      <c r="W32" s="12" t="n">
        <v>2665</v>
      </c>
      <c r="X32" s="15" t="s">
        <v>18</v>
      </c>
      <c r="Y32" s="11" t="s">
        <v>436</v>
      </c>
      <c r="Z32" s="10" t="n">
        <f aca="false">IF(ISNUMBER(J32),IF(J32&gt;=100*C32,1,0),0)+IF(ISNUMBER(R32),IF(R32&gt;=100*C32,1,0),0)+IF(ISNUMBER(W32),IF(W32&gt;=100*C32,1,0),0)</f>
        <v>3</v>
      </c>
    </row>
    <row r="33" customFormat="false" ht="15" hidden="false" customHeight="false" outlineLevel="0" collapsed="false">
      <c r="A33" s="10" t="n">
        <v>21</v>
      </c>
      <c r="B33" s="11" t="s">
        <v>437</v>
      </c>
      <c r="C33" s="10" t="n">
        <v>4</v>
      </c>
      <c r="D33" s="11" t="s">
        <v>438</v>
      </c>
      <c r="E33" s="11" t="s">
        <v>439</v>
      </c>
      <c r="F33" s="11" t="s">
        <v>440</v>
      </c>
      <c r="G33" s="10" t="s">
        <v>438</v>
      </c>
      <c r="H33" s="10" t="s">
        <v>441</v>
      </c>
      <c r="I33" s="10" t="s">
        <v>60</v>
      </c>
      <c r="J33" s="12" t="n">
        <v>163400</v>
      </c>
      <c r="K33" s="12" t="n">
        <f aca="false">IF(ISNUMBER(J33),INT(J33/C33),0)</f>
        <v>40850</v>
      </c>
      <c r="L33" s="13" t="n">
        <v>0.01</v>
      </c>
      <c r="M33" s="17" t="s">
        <v>11</v>
      </c>
      <c r="N33" s="11" t="s">
        <v>257</v>
      </c>
      <c r="O33" s="11"/>
      <c r="P33" s="11" t="s">
        <v>442</v>
      </c>
      <c r="Q33" s="10" t="s">
        <v>443</v>
      </c>
      <c r="R33" s="12" t="n">
        <v>18455</v>
      </c>
      <c r="S33" s="15" t="s">
        <v>18</v>
      </c>
      <c r="T33" s="11" t="s">
        <v>444</v>
      </c>
      <c r="U33" s="11" t="s">
        <v>445</v>
      </c>
      <c r="V33" s="10" t="s">
        <v>446</v>
      </c>
      <c r="W33" s="12" t="n">
        <v>1360</v>
      </c>
      <c r="X33" s="15" t="s">
        <v>18</v>
      </c>
      <c r="Y33" s="11" t="s">
        <v>417</v>
      </c>
      <c r="Z33" s="10" t="n">
        <f aca="false">IF(ISNUMBER(J33),IF(J33&gt;=100*C33,1,0),0)+IF(ISNUMBER(R33),IF(R33&gt;=100*C33,1,0),0)+IF(ISNUMBER(W33),IF(W33&gt;=100*C33,1,0),0)</f>
        <v>3</v>
      </c>
    </row>
    <row r="34" customFormat="false" ht="22.35" hidden="false" customHeight="false" outlineLevel="0" collapsed="false">
      <c r="A34" s="10" t="n">
        <v>22</v>
      </c>
      <c r="B34" s="11" t="s">
        <v>447</v>
      </c>
      <c r="C34" s="10" t="n">
        <v>1</v>
      </c>
      <c r="D34" s="11" t="s">
        <v>448</v>
      </c>
      <c r="E34" s="11" t="s">
        <v>189</v>
      </c>
      <c r="F34" s="11" t="s">
        <v>190</v>
      </c>
      <c r="G34" s="10" t="s">
        <v>448</v>
      </c>
      <c r="H34" s="10" t="s">
        <v>191</v>
      </c>
      <c r="I34" s="10" t="s">
        <v>449</v>
      </c>
      <c r="J34" s="12" t="n">
        <v>119530</v>
      </c>
      <c r="K34" s="12" t="n">
        <f aca="false">IF(ISNUMBER(J34),INT(J34/C34),0)</f>
        <v>119530</v>
      </c>
      <c r="L34" s="13" t="n">
        <v>0.0381</v>
      </c>
      <c r="M34" s="17" t="s">
        <v>11</v>
      </c>
      <c r="N34" s="11" t="s">
        <v>257</v>
      </c>
      <c r="O34" s="11"/>
      <c r="P34" s="11" t="s">
        <v>450</v>
      </c>
      <c r="Q34" s="10" t="s">
        <v>451</v>
      </c>
      <c r="R34" s="12" t="n">
        <v>68040</v>
      </c>
      <c r="S34" s="15" t="s">
        <v>18</v>
      </c>
      <c r="T34" s="11" t="s">
        <v>452</v>
      </c>
      <c r="U34" s="11" t="s">
        <v>453</v>
      </c>
      <c r="V34" s="10" t="s">
        <v>454</v>
      </c>
      <c r="W34" s="12" t="n">
        <v>57270</v>
      </c>
      <c r="X34" s="15" t="s">
        <v>18</v>
      </c>
      <c r="Y34" s="11" t="s">
        <v>455</v>
      </c>
      <c r="Z34" s="10" t="n">
        <f aca="false">IF(ISNUMBER(J34),IF(J34&gt;=100*C34,1,0),0)+IF(ISNUMBER(R34),IF(R34&gt;=100*C34,1,0),0)+IF(ISNUMBER(W34),IF(W34&gt;=100*C34,1,0),0)</f>
        <v>3</v>
      </c>
    </row>
    <row r="35" customFormat="false" ht="22.35" hidden="false" customHeight="false" outlineLevel="0" collapsed="false">
      <c r="A35" s="10" t="n">
        <v>23</v>
      </c>
      <c r="B35" s="11" t="s">
        <v>456</v>
      </c>
      <c r="C35" s="10" t="n">
        <v>1</v>
      </c>
      <c r="D35" s="11" t="s">
        <v>457</v>
      </c>
      <c r="E35" s="11" t="s">
        <v>458</v>
      </c>
      <c r="F35" s="11" t="s">
        <v>459</v>
      </c>
      <c r="G35" s="10" t="s">
        <v>460</v>
      </c>
      <c r="H35" s="10" t="s">
        <v>461</v>
      </c>
      <c r="I35" s="10" t="s">
        <v>462</v>
      </c>
      <c r="J35" s="12" t="n">
        <v>476000</v>
      </c>
      <c r="K35" s="12" t="n">
        <f aca="false">IF(ISNUMBER(J35),INT(J35/C35),0)</f>
        <v>476000</v>
      </c>
      <c r="L35" s="13" t="n">
        <v>0.0058</v>
      </c>
      <c r="M35" s="17" t="s">
        <v>11</v>
      </c>
      <c r="N35" s="11" t="s">
        <v>257</v>
      </c>
      <c r="O35" s="11"/>
      <c r="P35" s="11" t="s">
        <v>463</v>
      </c>
      <c r="Q35" s="10" t="s">
        <v>464</v>
      </c>
      <c r="R35" s="12" t="n">
        <v>837050</v>
      </c>
      <c r="S35" s="15" t="s">
        <v>18</v>
      </c>
      <c r="T35" s="11" t="s">
        <v>465</v>
      </c>
      <c r="U35" s="11" t="s">
        <v>466</v>
      </c>
      <c r="V35" s="10" t="s">
        <v>467</v>
      </c>
      <c r="W35" s="12" t="n">
        <v>845850</v>
      </c>
      <c r="X35" s="16" t="s">
        <v>20</v>
      </c>
      <c r="Y35" s="11" t="s">
        <v>468</v>
      </c>
      <c r="Z35" s="10" t="n">
        <f aca="false">IF(ISNUMBER(J35),IF(J35&gt;=100*C35,1,0),0)+IF(ISNUMBER(R35),IF(R35&gt;=100*C35,1,0),0)+IF(ISNUMBER(W35),IF(W35&gt;=100*C35,1,0),0)</f>
        <v>3</v>
      </c>
    </row>
    <row r="36" customFormat="false" ht="22.35" hidden="false" customHeight="false" outlineLevel="0" collapsed="false">
      <c r="A36" s="10" t="n">
        <v>24</v>
      </c>
      <c r="B36" s="11" t="s">
        <v>469</v>
      </c>
      <c r="C36" s="10" t="n">
        <v>1</v>
      </c>
      <c r="D36" s="11" t="s">
        <v>470</v>
      </c>
      <c r="E36" s="11" t="s">
        <v>458</v>
      </c>
      <c r="F36" s="11" t="s">
        <v>459</v>
      </c>
      <c r="G36" s="10" t="s">
        <v>471</v>
      </c>
      <c r="H36" s="10" t="s">
        <v>461</v>
      </c>
      <c r="I36" s="10" t="s">
        <v>472</v>
      </c>
      <c r="J36" s="12" t="n">
        <v>5889200</v>
      </c>
      <c r="K36" s="12" t="n">
        <f aca="false">IF(ISNUMBER(J36),INT(J36/C36),0)</f>
        <v>5889200</v>
      </c>
      <c r="L36" s="13" t="n">
        <v>0.0036</v>
      </c>
      <c r="M36" s="17" t="s">
        <v>11</v>
      </c>
      <c r="N36" s="11" t="s">
        <v>257</v>
      </c>
      <c r="O36" s="11"/>
      <c r="P36" s="11" t="s">
        <v>473</v>
      </c>
      <c r="Q36" s="10" t="s">
        <v>474</v>
      </c>
      <c r="R36" s="12" t="n">
        <v>3778500</v>
      </c>
      <c r="S36" s="15" t="s">
        <v>18</v>
      </c>
      <c r="T36" s="11" t="s">
        <v>475</v>
      </c>
      <c r="U36" s="11" t="s">
        <v>476</v>
      </c>
      <c r="V36" s="10" t="s">
        <v>477</v>
      </c>
      <c r="W36" s="12" t="n">
        <v>64200</v>
      </c>
      <c r="X36" s="15" t="s">
        <v>18</v>
      </c>
      <c r="Y36" s="11" t="s">
        <v>478</v>
      </c>
      <c r="Z36" s="10" t="n">
        <f aca="false">IF(ISNUMBER(J36),IF(J36&gt;=100*C36,1,0),0)+IF(ISNUMBER(R36),IF(R36&gt;=100*C36,1,0),0)+IF(ISNUMBER(W36),IF(W36&gt;=100*C36,1,0),0)</f>
        <v>3</v>
      </c>
    </row>
    <row r="37" customFormat="false" ht="15" hidden="false" customHeight="false" outlineLevel="0" collapsed="false">
      <c r="A37" s="10" t="n">
        <v>25</v>
      </c>
      <c r="B37" s="11" t="s">
        <v>479</v>
      </c>
      <c r="C37" s="10" t="n">
        <v>1</v>
      </c>
      <c r="D37" s="11" t="s">
        <v>480</v>
      </c>
      <c r="E37" s="11" t="s">
        <v>481</v>
      </c>
      <c r="F37" s="11" t="s">
        <v>482</v>
      </c>
      <c r="G37" s="10" t="s">
        <v>480</v>
      </c>
      <c r="H37" s="10" t="s">
        <v>483</v>
      </c>
      <c r="I37" s="10" t="s">
        <v>484</v>
      </c>
      <c r="J37" s="12" t="n">
        <v>2881050</v>
      </c>
      <c r="K37" s="12" t="n">
        <f aca="false">IF(ISNUMBER(J37),INT(J37/C37),0)</f>
        <v>2881050</v>
      </c>
      <c r="L37" s="13" t="n">
        <v>0.0061</v>
      </c>
      <c r="M37" s="17" t="s">
        <v>11</v>
      </c>
      <c r="N37" s="11" t="s">
        <v>257</v>
      </c>
      <c r="O37" s="11"/>
      <c r="P37" s="11" t="s">
        <v>485</v>
      </c>
      <c r="Q37" s="10" t="s">
        <v>486</v>
      </c>
      <c r="R37" s="12" t="n">
        <v>1400</v>
      </c>
      <c r="S37" s="15" t="s">
        <v>18</v>
      </c>
      <c r="T37" s="11" t="s">
        <v>487</v>
      </c>
      <c r="U37" s="11"/>
      <c r="V37" s="10"/>
      <c r="W37" s="12"/>
      <c r="X37" s="18"/>
      <c r="Y37" s="11" t="s">
        <v>208</v>
      </c>
      <c r="Z37" s="10" t="n">
        <f aca="false">IF(ISNUMBER(J37),IF(J37&gt;=100*C37,1,0),0)+IF(ISNUMBER(R37),IF(R37&gt;=100*C37,1,0),0)+IF(ISNUMBER(W37),IF(W37&gt;=100*C37,1,0),0)</f>
        <v>2</v>
      </c>
    </row>
    <row r="38" customFormat="false" ht="15" hidden="false" customHeight="false" outlineLevel="0" collapsed="false">
      <c r="A38" s="10" t="n">
        <v>27</v>
      </c>
      <c r="B38" s="11" t="s">
        <v>488</v>
      </c>
      <c r="C38" s="10" t="n">
        <v>1</v>
      </c>
      <c r="D38" s="11" t="s">
        <v>489</v>
      </c>
      <c r="E38" s="11" t="s">
        <v>490</v>
      </c>
      <c r="F38" s="11" t="s">
        <v>491</v>
      </c>
      <c r="G38" s="10" t="s">
        <v>489</v>
      </c>
      <c r="H38" s="10" t="s">
        <v>380</v>
      </c>
      <c r="I38" s="10" t="s">
        <v>48</v>
      </c>
      <c r="J38" s="12" t="n">
        <v>806800</v>
      </c>
      <c r="K38" s="12" t="n">
        <f aca="false">IF(ISNUMBER(J38),INT(J38/C38),0)</f>
        <v>806800</v>
      </c>
      <c r="L38" s="13" t="n">
        <v>0.0093</v>
      </c>
      <c r="M38" s="17" t="s">
        <v>11</v>
      </c>
      <c r="N38" s="11" t="s">
        <v>257</v>
      </c>
      <c r="O38" s="11"/>
      <c r="P38" s="11" t="s">
        <v>492</v>
      </c>
      <c r="Q38" s="10" t="s">
        <v>493</v>
      </c>
      <c r="R38" s="12" t="n">
        <v>21960</v>
      </c>
      <c r="S38" s="15" t="s">
        <v>18</v>
      </c>
      <c r="T38" s="11" t="s">
        <v>494</v>
      </c>
      <c r="U38" s="11"/>
      <c r="V38" s="10"/>
      <c r="W38" s="12"/>
      <c r="X38" s="18"/>
      <c r="Y38" s="11" t="s">
        <v>208</v>
      </c>
      <c r="Z38" s="10" t="n">
        <f aca="false">IF(ISNUMBER(J38),IF(J38&gt;=100*C38,1,0),0)+IF(ISNUMBER(R38),IF(R38&gt;=100*C38,1,0),0)+IF(ISNUMBER(W38),IF(W38&gt;=100*C38,1,0),0)</f>
        <v>2</v>
      </c>
    </row>
    <row r="39" customFormat="false" ht="32.8" hidden="false" customHeight="false" outlineLevel="0" collapsed="false">
      <c r="A39" s="10" t="n">
        <v>29</v>
      </c>
      <c r="B39" s="11" t="s">
        <v>495</v>
      </c>
      <c r="C39" s="10" t="n">
        <v>2</v>
      </c>
      <c r="D39" s="11" t="s">
        <v>496</v>
      </c>
      <c r="E39" s="11" t="s">
        <v>497</v>
      </c>
      <c r="F39" s="11" t="s">
        <v>498</v>
      </c>
      <c r="G39" s="10" t="s">
        <v>496</v>
      </c>
      <c r="H39" s="10" t="s">
        <v>499</v>
      </c>
      <c r="I39" s="10" t="s">
        <v>51</v>
      </c>
      <c r="J39" s="12" t="n">
        <v>35940</v>
      </c>
      <c r="K39" s="12" t="n">
        <f aca="false">IF(ISNUMBER(J39),INT(J39/C39),0)</f>
        <v>17970</v>
      </c>
      <c r="L39" s="13" t="n">
        <v>0.0455</v>
      </c>
      <c r="M39" s="17" t="s">
        <v>11</v>
      </c>
      <c r="N39" s="11" t="s">
        <v>257</v>
      </c>
      <c r="O39" s="11"/>
      <c r="P39" s="11" t="s">
        <v>500</v>
      </c>
      <c r="Q39" s="10" t="s">
        <v>501</v>
      </c>
      <c r="R39" s="12" t="n">
        <v>7940</v>
      </c>
      <c r="S39" s="16" t="s">
        <v>20</v>
      </c>
      <c r="T39" s="11" t="s">
        <v>502</v>
      </c>
      <c r="U39" s="11"/>
      <c r="V39" s="10"/>
      <c r="W39" s="12"/>
      <c r="X39" s="18"/>
      <c r="Y39" s="11" t="s">
        <v>208</v>
      </c>
      <c r="Z39" s="10" t="n">
        <f aca="false">IF(ISNUMBER(J39),IF(J39&gt;=100*C39,1,0),0)+IF(ISNUMBER(R39),IF(R39&gt;=100*C39,1,0),0)+IF(ISNUMBER(W39),IF(W39&gt;=100*C39,1,0),0)</f>
        <v>2</v>
      </c>
    </row>
    <row r="40" customFormat="false" ht="22.35" hidden="false" customHeight="false" outlineLevel="0" collapsed="false">
      <c r="A40" s="10" t="n">
        <v>31</v>
      </c>
      <c r="B40" s="11" t="s">
        <v>503</v>
      </c>
      <c r="C40" s="10" t="n">
        <v>4</v>
      </c>
      <c r="D40" s="11" t="s">
        <v>504</v>
      </c>
      <c r="E40" s="11" t="s">
        <v>178</v>
      </c>
      <c r="F40" s="11" t="s">
        <v>179</v>
      </c>
      <c r="G40" s="10" t="s">
        <v>504</v>
      </c>
      <c r="H40" s="10" t="s">
        <v>180</v>
      </c>
      <c r="I40" s="10" t="s">
        <v>30</v>
      </c>
      <c r="J40" s="12" t="n">
        <v>7577</v>
      </c>
      <c r="K40" s="12" t="n">
        <f aca="false">IF(ISNUMBER(J40),INT(J40/C40),0)</f>
        <v>1894</v>
      </c>
      <c r="L40" s="13" t="n">
        <v>0.6372</v>
      </c>
      <c r="M40" s="17" t="s">
        <v>11</v>
      </c>
      <c r="N40" s="11" t="s">
        <v>257</v>
      </c>
      <c r="O40" s="11"/>
      <c r="P40" s="11" t="s">
        <v>183</v>
      </c>
      <c r="Q40" s="10" t="s">
        <v>184</v>
      </c>
      <c r="R40" s="12" t="n">
        <v>645</v>
      </c>
      <c r="S40" s="17" t="s">
        <v>16</v>
      </c>
      <c r="T40" s="11" t="s">
        <v>505</v>
      </c>
      <c r="U40" s="11" t="s">
        <v>506</v>
      </c>
      <c r="V40" s="10" t="s">
        <v>507</v>
      </c>
      <c r="W40" s="12" t="n">
        <v>38</v>
      </c>
      <c r="X40" s="15" t="s">
        <v>18</v>
      </c>
      <c r="Y40" s="11" t="s">
        <v>417</v>
      </c>
      <c r="Z40" s="10" t="n">
        <f aca="false">IF(ISNUMBER(J40),IF(J40&gt;=100*C40,1,0),0)+IF(ISNUMBER(R40),IF(R40&gt;=100*C40,1,0),0)+IF(ISNUMBER(W40),IF(W40&gt;=100*C40,1,0),0)</f>
        <v>2</v>
      </c>
    </row>
    <row r="41" customFormat="false" ht="22.35" hidden="false" customHeight="false" outlineLevel="0" collapsed="false">
      <c r="A41" s="10" t="n">
        <v>32</v>
      </c>
      <c r="B41" s="11" t="s">
        <v>508</v>
      </c>
      <c r="C41" s="10" t="n">
        <v>2</v>
      </c>
      <c r="D41" s="11" t="s">
        <v>509</v>
      </c>
      <c r="E41" s="11" t="s">
        <v>178</v>
      </c>
      <c r="F41" s="11" t="s">
        <v>510</v>
      </c>
      <c r="G41" s="10" t="s">
        <v>509</v>
      </c>
      <c r="H41" s="10" t="s">
        <v>511</v>
      </c>
      <c r="I41" s="10" t="s">
        <v>512</v>
      </c>
      <c r="J41" s="12" t="n">
        <v>4771</v>
      </c>
      <c r="K41" s="12" t="n">
        <f aca="false">IF(ISNUMBER(J41),INT(J41/C41),0)</f>
        <v>2385</v>
      </c>
      <c r="L41" s="13" t="n">
        <v>0.5455</v>
      </c>
      <c r="M41" s="17" t="s">
        <v>11</v>
      </c>
      <c r="N41" s="11" t="s">
        <v>257</v>
      </c>
      <c r="O41" s="11"/>
      <c r="P41" s="11" t="s">
        <v>513</v>
      </c>
      <c r="Q41" s="10" t="s">
        <v>514</v>
      </c>
      <c r="R41" s="12" t="n">
        <v>465</v>
      </c>
      <c r="S41" s="17" t="s">
        <v>16</v>
      </c>
      <c r="T41" s="11" t="s">
        <v>515</v>
      </c>
      <c r="U41" s="11" t="s">
        <v>516</v>
      </c>
      <c r="V41" s="10" t="s">
        <v>517</v>
      </c>
      <c r="W41" s="12" t="n">
        <v>1461</v>
      </c>
      <c r="X41" s="16" t="s">
        <v>20</v>
      </c>
      <c r="Y41" s="11" t="s">
        <v>518</v>
      </c>
      <c r="Z41" s="10" t="n">
        <f aca="false">IF(ISNUMBER(J41),IF(J41&gt;=100*C41,1,0),0)+IF(ISNUMBER(R41),IF(R41&gt;=100*C41,1,0),0)+IF(ISNUMBER(W41),IF(W41&gt;=100*C41,1,0),0)</f>
        <v>3</v>
      </c>
    </row>
    <row r="42" customFormat="false" ht="15" hidden="false" customHeight="false" outlineLevel="0" collapsed="false">
      <c r="A42" s="10" t="n">
        <v>33</v>
      </c>
      <c r="B42" s="11" t="s">
        <v>519</v>
      </c>
      <c r="C42" s="10" t="n">
        <v>1</v>
      </c>
      <c r="D42" s="11" t="s">
        <v>520</v>
      </c>
      <c r="E42" s="11" t="s">
        <v>189</v>
      </c>
      <c r="F42" s="11" t="s">
        <v>190</v>
      </c>
      <c r="G42" s="10" t="s">
        <v>521</v>
      </c>
      <c r="H42" s="10" t="s">
        <v>191</v>
      </c>
      <c r="I42" s="10" t="s">
        <v>522</v>
      </c>
      <c r="J42" s="12" t="n">
        <v>938050</v>
      </c>
      <c r="K42" s="12" t="n">
        <f aca="false">IF(ISNUMBER(J42),INT(J42/C42),0)</f>
        <v>938050</v>
      </c>
      <c r="L42" s="13" t="n">
        <v>0.0086</v>
      </c>
      <c r="M42" s="17" t="s">
        <v>11</v>
      </c>
      <c r="N42" s="11" t="s">
        <v>257</v>
      </c>
      <c r="O42" s="11"/>
      <c r="P42" s="11" t="s">
        <v>523</v>
      </c>
      <c r="Q42" s="10" t="s">
        <v>524</v>
      </c>
      <c r="R42" s="12" t="n">
        <v>114520</v>
      </c>
      <c r="S42" s="15" t="s">
        <v>18</v>
      </c>
      <c r="T42" s="11" t="s">
        <v>525</v>
      </c>
      <c r="U42" s="11" t="s">
        <v>526</v>
      </c>
      <c r="V42" s="10" t="s">
        <v>527</v>
      </c>
      <c r="W42" s="12" t="n">
        <v>5280</v>
      </c>
      <c r="X42" s="15" t="s">
        <v>18</v>
      </c>
      <c r="Y42" s="11" t="s">
        <v>528</v>
      </c>
      <c r="Z42" s="10" t="n">
        <f aca="false">IF(ISNUMBER(J42),IF(J42&gt;=100*C42,1,0),0)+IF(ISNUMBER(R42),IF(R42&gt;=100*C42,1,0),0)+IF(ISNUMBER(W42),IF(W42&gt;=100*C42,1,0),0)</f>
        <v>3</v>
      </c>
    </row>
    <row r="43" customFormat="false" ht="15" hidden="false" customHeight="false" outlineLevel="0" collapsed="false">
      <c r="A43" s="10" t="n">
        <v>34</v>
      </c>
      <c r="B43" s="11" t="s">
        <v>529</v>
      </c>
      <c r="C43" s="10" t="n">
        <v>1</v>
      </c>
      <c r="D43" s="11" t="s">
        <v>530</v>
      </c>
      <c r="E43" s="11" t="s">
        <v>189</v>
      </c>
      <c r="F43" s="11" t="s">
        <v>190</v>
      </c>
      <c r="G43" s="10" t="s">
        <v>530</v>
      </c>
      <c r="H43" s="10" t="s">
        <v>531</v>
      </c>
      <c r="I43" s="10" t="s">
        <v>532</v>
      </c>
      <c r="J43" s="12" t="n">
        <v>1919050</v>
      </c>
      <c r="K43" s="12" t="n">
        <f aca="false">IF(ISNUMBER(J43),INT(J43/C43),0)</f>
        <v>1919050</v>
      </c>
      <c r="L43" s="13" t="n">
        <v>0.0105</v>
      </c>
      <c r="M43" s="17" t="s">
        <v>11</v>
      </c>
      <c r="N43" s="11" t="s">
        <v>257</v>
      </c>
      <c r="O43" s="11"/>
      <c r="P43" s="11" t="s">
        <v>533</v>
      </c>
      <c r="Q43" s="10" t="s">
        <v>534</v>
      </c>
      <c r="R43" s="12" t="n">
        <v>150960</v>
      </c>
      <c r="S43" s="15" t="s">
        <v>18</v>
      </c>
      <c r="T43" s="11" t="s">
        <v>535</v>
      </c>
      <c r="U43" s="11" t="s">
        <v>536</v>
      </c>
      <c r="V43" s="10" t="s">
        <v>537</v>
      </c>
      <c r="W43" s="12" t="n">
        <v>156800</v>
      </c>
      <c r="X43" s="15" t="s">
        <v>18</v>
      </c>
      <c r="Y43" s="11" t="s">
        <v>538</v>
      </c>
      <c r="Z43" s="10" t="n">
        <f aca="false">IF(ISNUMBER(J43),IF(J43&gt;=100*C43,1,0),0)+IF(ISNUMBER(R43),IF(R43&gt;=100*C43,1,0),0)+IF(ISNUMBER(W43),IF(W43&gt;=100*C43,1,0),0)</f>
        <v>3</v>
      </c>
    </row>
    <row r="44" customFormat="false" ht="15" hidden="false" customHeight="false" outlineLevel="0" collapsed="false">
      <c r="A44" s="10" t="n">
        <v>36</v>
      </c>
      <c r="B44" s="11" t="s">
        <v>539</v>
      </c>
      <c r="C44" s="10" t="n">
        <v>1</v>
      </c>
      <c r="D44" s="11" t="s">
        <v>540</v>
      </c>
      <c r="E44" s="11" t="s">
        <v>202</v>
      </c>
      <c r="F44" s="11" t="s">
        <v>152</v>
      </c>
      <c r="G44" s="10" t="s">
        <v>541</v>
      </c>
      <c r="H44" s="10" t="s">
        <v>542</v>
      </c>
      <c r="I44" s="10" t="s">
        <v>543</v>
      </c>
      <c r="J44" s="12" t="n">
        <v>771700</v>
      </c>
      <c r="K44" s="12" t="n">
        <f aca="false">IF(ISNUMBER(J44),INT(J44/C44),0)</f>
        <v>771700</v>
      </c>
      <c r="L44" s="13" t="n">
        <v>0.0022</v>
      </c>
      <c r="M44" s="17" t="s">
        <v>11</v>
      </c>
      <c r="N44" s="11" t="s">
        <v>257</v>
      </c>
      <c r="O44" s="11"/>
      <c r="P44" s="11" t="s">
        <v>544</v>
      </c>
      <c r="Q44" s="10" t="s">
        <v>545</v>
      </c>
      <c r="R44" s="12" t="n">
        <v>372600</v>
      </c>
      <c r="S44" s="15" t="s">
        <v>18</v>
      </c>
      <c r="T44" s="11" t="s">
        <v>546</v>
      </c>
      <c r="U44" s="11" t="s">
        <v>547</v>
      </c>
      <c r="V44" s="10" t="s">
        <v>548</v>
      </c>
      <c r="W44" s="12" t="n">
        <v>296200</v>
      </c>
      <c r="X44" s="15" t="s">
        <v>18</v>
      </c>
      <c r="Y44" s="11" t="s">
        <v>549</v>
      </c>
      <c r="Z44" s="10" t="n">
        <f aca="false">IF(ISNUMBER(J44),IF(J44&gt;=100*C44,1,0),0)+IF(ISNUMBER(R44),IF(R44&gt;=100*C44,1,0),0)+IF(ISNUMBER(W44),IF(W44&gt;=100*C44,1,0),0)</f>
        <v>3</v>
      </c>
    </row>
    <row r="45" customFormat="false" ht="15" hidden="false" customHeight="false" outlineLevel="0" collapsed="false">
      <c r="A45" s="10" t="n">
        <v>37</v>
      </c>
      <c r="B45" s="11" t="s">
        <v>550</v>
      </c>
      <c r="C45" s="10" t="n">
        <v>6</v>
      </c>
      <c r="D45" s="11" t="s">
        <v>551</v>
      </c>
      <c r="E45" s="11" t="s">
        <v>552</v>
      </c>
      <c r="F45" s="11" t="s">
        <v>267</v>
      </c>
      <c r="G45" s="10" t="s">
        <v>553</v>
      </c>
      <c r="H45" s="10" t="s">
        <v>554</v>
      </c>
      <c r="I45" s="10" t="s">
        <v>555</v>
      </c>
      <c r="J45" s="12" t="n">
        <v>20900</v>
      </c>
      <c r="K45" s="12" t="n">
        <f aca="false">IF(ISNUMBER(J45),INT(J45/C45),0)</f>
        <v>3483</v>
      </c>
      <c r="L45" s="13" t="n">
        <v>0.0014</v>
      </c>
      <c r="M45" s="17" t="s">
        <v>11</v>
      </c>
      <c r="N45" s="11" t="s">
        <v>257</v>
      </c>
      <c r="O45" s="11"/>
      <c r="P45" s="11" t="s">
        <v>556</v>
      </c>
      <c r="Q45" s="10" t="s">
        <v>557</v>
      </c>
      <c r="R45" s="12" t="n">
        <v>4914100</v>
      </c>
      <c r="S45" s="15" t="s">
        <v>18</v>
      </c>
      <c r="T45" s="11" t="s">
        <v>558</v>
      </c>
      <c r="U45" s="11" t="s">
        <v>559</v>
      </c>
      <c r="V45" s="10" t="s">
        <v>560</v>
      </c>
      <c r="W45" s="12" t="n">
        <v>8600</v>
      </c>
      <c r="X45" s="15" t="s">
        <v>18</v>
      </c>
      <c r="Y45" s="11" t="s">
        <v>561</v>
      </c>
      <c r="Z45" s="10" t="n">
        <f aca="false">IF(ISNUMBER(J45),IF(J45&gt;=100*C45,1,0),0)+IF(ISNUMBER(R45),IF(R45&gt;=100*C45,1,0),0)+IF(ISNUMBER(W45),IF(W45&gt;=100*C45,1,0),0)</f>
        <v>3</v>
      </c>
    </row>
    <row r="46" customFormat="false" ht="105.95" hidden="false" customHeight="false" outlineLevel="0" collapsed="false">
      <c r="A46" s="10" t="n">
        <v>38</v>
      </c>
      <c r="B46" s="11" t="s">
        <v>562</v>
      </c>
      <c r="C46" s="10" t="n">
        <v>51</v>
      </c>
      <c r="D46" s="11" t="s">
        <v>563</v>
      </c>
      <c r="E46" s="11" t="s">
        <v>564</v>
      </c>
      <c r="F46" s="11" t="s">
        <v>301</v>
      </c>
      <c r="G46" s="10" t="s">
        <v>565</v>
      </c>
      <c r="H46" s="10" t="s">
        <v>542</v>
      </c>
      <c r="I46" s="10" t="s">
        <v>33</v>
      </c>
      <c r="J46" s="12" t="n">
        <v>14247200</v>
      </c>
      <c r="K46" s="12" t="n">
        <f aca="false">IF(ISNUMBER(J46),INT(J46/C46),0)</f>
        <v>279356</v>
      </c>
      <c r="L46" s="13" t="n">
        <v>0.0008</v>
      </c>
      <c r="M46" s="17" t="s">
        <v>11</v>
      </c>
      <c r="N46" s="11" t="s">
        <v>257</v>
      </c>
      <c r="O46" s="11"/>
      <c r="P46" s="11" t="s">
        <v>566</v>
      </c>
      <c r="Q46" s="10" t="s">
        <v>567</v>
      </c>
      <c r="R46" s="12" t="n">
        <v>431300</v>
      </c>
      <c r="S46" s="15" t="s">
        <v>18</v>
      </c>
      <c r="T46" s="11" t="s">
        <v>568</v>
      </c>
      <c r="U46" s="11"/>
      <c r="V46" s="10"/>
      <c r="W46" s="12"/>
      <c r="X46" s="18"/>
      <c r="Y46" s="11" t="s">
        <v>208</v>
      </c>
      <c r="Z46" s="10" t="n">
        <f aca="false">IF(ISNUMBER(J46),IF(J46&gt;=100*C46,1,0),0)+IF(ISNUMBER(R46),IF(R46&gt;=100*C46,1,0),0)+IF(ISNUMBER(W46),IF(W46&gt;=100*C46,1,0),0)</f>
        <v>2</v>
      </c>
    </row>
    <row r="47" customFormat="false" ht="15" hidden="false" customHeight="false" outlineLevel="0" collapsed="false">
      <c r="A47" s="10" t="n">
        <v>39</v>
      </c>
      <c r="B47" s="11" t="s">
        <v>569</v>
      </c>
      <c r="C47" s="10" t="n">
        <v>3</v>
      </c>
      <c r="D47" s="11" t="s">
        <v>570</v>
      </c>
      <c r="E47" s="11" t="s">
        <v>564</v>
      </c>
      <c r="F47" s="11" t="s">
        <v>301</v>
      </c>
      <c r="G47" s="10" t="s">
        <v>571</v>
      </c>
      <c r="H47" s="10" t="s">
        <v>554</v>
      </c>
      <c r="I47" s="10" t="s">
        <v>572</v>
      </c>
      <c r="J47" s="12" t="n">
        <v>13600</v>
      </c>
      <c r="K47" s="12" t="n">
        <f aca="false">IF(ISNUMBER(J47),INT(J47/C47),0)</f>
        <v>4533</v>
      </c>
      <c r="L47" s="13" t="n">
        <v>0.0016</v>
      </c>
      <c r="M47" s="17" t="s">
        <v>11</v>
      </c>
      <c r="N47" s="11" t="s">
        <v>257</v>
      </c>
      <c r="O47" s="11"/>
      <c r="P47" s="11" t="s">
        <v>573</v>
      </c>
      <c r="Q47" s="10" t="s">
        <v>574</v>
      </c>
      <c r="R47" s="12" t="n">
        <v>1195200</v>
      </c>
      <c r="S47" s="15" t="s">
        <v>18</v>
      </c>
      <c r="T47" s="11" t="s">
        <v>575</v>
      </c>
      <c r="U47" s="11" t="s">
        <v>576</v>
      </c>
      <c r="V47" s="10" t="s">
        <v>577</v>
      </c>
      <c r="W47" s="12" t="n">
        <v>728300</v>
      </c>
      <c r="X47" s="15" t="s">
        <v>18</v>
      </c>
      <c r="Y47" s="11" t="s">
        <v>578</v>
      </c>
      <c r="Z47" s="10" t="n">
        <f aca="false">IF(ISNUMBER(J47),IF(J47&gt;=100*C47,1,0),0)+IF(ISNUMBER(R47),IF(R47&gt;=100*C47,1,0),0)+IF(ISNUMBER(W47),IF(W47&gt;=100*C47,1,0),0)</f>
        <v>3</v>
      </c>
    </row>
    <row r="48" customFormat="false" ht="15" hidden="false" customHeight="false" outlineLevel="0" collapsed="false">
      <c r="A48" s="10" t="n">
        <v>40</v>
      </c>
      <c r="B48" s="11" t="s">
        <v>579</v>
      </c>
      <c r="C48" s="10" t="n">
        <v>2</v>
      </c>
      <c r="D48" s="11" t="s">
        <v>580</v>
      </c>
      <c r="E48" s="11" t="s">
        <v>564</v>
      </c>
      <c r="F48" s="11" t="s">
        <v>301</v>
      </c>
      <c r="G48" s="10" t="s">
        <v>581</v>
      </c>
      <c r="H48" s="10" t="s">
        <v>554</v>
      </c>
      <c r="I48" s="10" t="s">
        <v>582</v>
      </c>
      <c r="J48" s="12" t="n">
        <v>1071900</v>
      </c>
      <c r="K48" s="12" t="n">
        <f aca="false">IF(ISNUMBER(J48),INT(J48/C48),0)</f>
        <v>535950</v>
      </c>
      <c r="L48" s="13" t="n">
        <v>0.0005</v>
      </c>
      <c r="M48" s="17" t="s">
        <v>11</v>
      </c>
      <c r="N48" s="11" t="s">
        <v>257</v>
      </c>
      <c r="O48" s="11"/>
      <c r="P48" s="11" t="s">
        <v>583</v>
      </c>
      <c r="Q48" s="10" t="s">
        <v>584</v>
      </c>
      <c r="R48" s="12" t="n">
        <v>1482500</v>
      </c>
      <c r="S48" s="15" t="s">
        <v>18</v>
      </c>
      <c r="T48" s="11" t="s">
        <v>585</v>
      </c>
      <c r="U48" s="11" t="s">
        <v>586</v>
      </c>
      <c r="V48" s="10" t="s">
        <v>587</v>
      </c>
      <c r="W48" s="12" t="n">
        <v>2074900</v>
      </c>
      <c r="X48" s="15" t="s">
        <v>18</v>
      </c>
      <c r="Y48" s="11" t="s">
        <v>588</v>
      </c>
      <c r="Z48" s="10" t="n">
        <f aca="false">IF(ISNUMBER(J48),IF(J48&gt;=100*C48,1,0),0)+IF(ISNUMBER(R48),IF(R48&gt;=100*C48,1,0),0)+IF(ISNUMBER(W48),IF(W48&gt;=100*C48,1,0),0)</f>
        <v>3</v>
      </c>
    </row>
    <row r="49" customFormat="false" ht="15" hidden="false" customHeight="false" outlineLevel="0" collapsed="false">
      <c r="A49" s="10" t="n">
        <v>41</v>
      </c>
      <c r="B49" s="11" t="s">
        <v>589</v>
      </c>
      <c r="C49" s="10" t="n">
        <v>2</v>
      </c>
      <c r="D49" s="11" t="s">
        <v>590</v>
      </c>
      <c r="E49" s="11" t="s">
        <v>552</v>
      </c>
      <c r="F49" s="11" t="s">
        <v>267</v>
      </c>
      <c r="G49" s="10" t="s">
        <v>591</v>
      </c>
      <c r="H49" s="10" t="s">
        <v>204</v>
      </c>
      <c r="I49" s="10" t="s">
        <v>592</v>
      </c>
      <c r="J49" s="12" t="n">
        <v>1098200</v>
      </c>
      <c r="K49" s="12" t="n">
        <f aca="false">IF(ISNUMBER(J49),INT(J49/C49),0)</f>
        <v>549100</v>
      </c>
      <c r="L49" s="13" t="n">
        <v>0.0218</v>
      </c>
      <c r="M49" s="17" t="s">
        <v>11</v>
      </c>
      <c r="N49" s="11" t="s">
        <v>257</v>
      </c>
      <c r="O49" s="11"/>
      <c r="P49" s="11" t="s">
        <v>593</v>
      </c>
      <c r="Q49" s="10" t="s">
        <v>594</v>
      </c>
      <c r="R49" s="12" t="n">
        <v>46265</v>
      </c>
      <c r="S49" s="15" t="s">
        <v>18</v>
      </c>
      <c r="T49" s="11" t="s">
        <v>595</v>
      </c>
      <c r="U49" s="11" t="s">
        <v>596</v>
      </c>
      <c r="V49" s="10" t="s">
        <v>597</v>
      </c>
      <c r="W49" s="12" t="n">
        <v>540</v>
      </c>
      <c r="X49" s="15" t="s">
        <v>18</v>
      </c>
      <c r="Y49" s="11" t="s">
        <v>598</v>
      </c>
      <c r="Z49" s="10" t="n">
        <f aca="false">IF(ISNUMBER(J49),IF(J49&gt;=100*C49,1,0),0)+IF(ISNUMBER(R49),IF(R49&gt;=100*C49,1,0),0)+IF(ISNUMBER(W49),IF(W49&gt;=100*C49,1,0),0)</f>
        <v>3</v>
      </c>
    </row>
    <row r="50" customFormat="false" ht="15" hidden="false" customHeight="false" outlineLevel="0" collapsed="false">
      <c r="A50" s="10" t="n">
        <v>42</v>
      </c>
      <c r="B50" s="11" t="s">
        <v>599</v>
      </c>
      <c r="C50" s="10" t="n">
        <v>2</v>
      </c>
      <c r="D50" s="11" t="s">
        <v>600</v>
      </c>
      <c r="E50" s="11" t="s">
        <v>564</v>
      </c>
      <c r="F50" s="11" t="s">
        <v>301</v>
      </c>
      <c r="G50" s="10" t="s">
        <v>601</v>
      </c>
      <c r="H50" s="10" t="s">
        <v>602</v>
      </c>
      <c r="I50" s="10" t="s">
        <v>603</v>
      </c>
      <c r="J50" s="12" t="n">
        <v>6975</v>
      </c>
      <c r="K50" s="12" t="n">
        <f aca="false">IF(ISNUMBER(J50),INT(J50/C50),0)</f>
        <v>3487</v>
      </c>
      <c r="L50" s="13" t="n">
        <v>0.0947</v>
      </c>
      <c r="M50" s="17" t="s">
        <v>11</v>
      </c>
      <c r="N50" s="11" t="s">
        <v>257</v>
      </c>
      <c r="O50" s="11"/>
      <c r="P50" s="11" t="s">
        <v>604</v>
      </c>
      <c r="Q50" s="10" t="s">
        <v>605</v>
      </c>
      <c r="R50" s="12" t="n">
        <v>15760</v>
      </c>
      <c r="S50" s="15" t="s">
        <v>18</v>
      </c>
      <c r="T50" s="11" t="s">
        <v>606</v>
      </c>
      <c r="U50" s="11" t="s">
        <v>607</v>
      </c>
      <c r="V50" s="10" t="s">
        <v>608</v>
      </c>
      <c r="W50" s="12" t="n">
        <v>7905</v>
      </c>
      <c r="X50" s="15" t="s">
        <v>18</v>
      </c>
      <c r="Y50" s="11" t="s">
        <v>609</v>
      </c>
      <c r="Z50" s="10" t="n">
        <f aca="false">IF(ISNUMBER(J50),IF(J50&gt;=100*C50,1,0),0)+IF(ISNUMBER(R50),IF(R50&gt;=100*C50,1,0),0)+IF(ISNUMBER(W50),IF(W50&gt;=100*C50,1,0),0)</f>
        <v>3</v>
      </c>
    </row>
    <row r="51" customFormat="false" ht="15" hidden="false" customHeight="false" outlineLevel="0" collapsed="false">
      <c r="A51" s="10" t="n">
        <v>43</v>
      </c>
      <c r="B51" s="11" t="s">
        <v>610</v>
      </c>
      <c r="C51" s="10" t="n">
        <v>2</v>
      </c>
      <c r="D51" s="11" t="s">
        <v>611</v>
      </c>
      <c r="E51" s="11" t="s">
        <v>564</v>
      </c>
      <c r="F51" s="11" t="s">
        <v>301</v>
      </c>
      <c r="G51" s="10" t="s">
        <v>612</v>
      </c>
      <c r="H51" s="10" t="s">
        <v>602</v>
      </c>
      <c r="I51" s="10" t="s">
        <v>613</v>
      </c>
      <c r="J51" s="12" t="n">
        <v>8110</v>
      </c>
      <c r="K51" s="12" t="n">
        <f aca="false">IF(ISNUMBER(J51),INT(J51/C51),0)</f>
        <v>4055</v>
      </c>
      <c r="L51" s="13" t="n">
        <v>0.1296</v>
      </c>
      <c r="M51" s="17" t="s">
        <v>11</v>
      </c>
      <c r="N51" s="11" t="s">
        <v>257</v>
      </c>
      <c r="O51" s="11"/>
      <c r="P51" s="11" t="s">
        <v>614</v>
      </c>
      <c r="Q51" s="10" t="s">
        <v>615</v>
      </c>
      <c r="R51" s="12" t="n">
        <v>293450</v>
      </c>
      <c r="S51" s="15" t="s">
        <v>18</v>
      </c>
      <c r="T51" s="11" t="s">
        <v>616</v>
      </c>
      <c r="U51" s="11" t="s">
        <v>617</v>
      </c>
      <c r="V51" s="10" t="s">
        <v>618</v>
      </c>
      <c r="W51" s="12" t="n">
        <v>26950</v>
      </c>
      <c r="X51" s="15" t="s">
        <v>18</v>
      </c>
      <c r="Y51" s="11" t="s">
        <v>619</v>
      </c>
      <c r="Z51" s="10" t="n">
        <f aca="false">IF(ISNUMBER(J51),IF(J51&gt;=100*C51,1,0),0)+IF(ISNUMBER(R51),IF(R51&gt;=100*C51,1,0),0)+IF(ISNUMBER(W51),IF(W51&gt;=100*C51,1,0),0)</f>
        <v>3</v>
      </c>
    </row>
    <row r="52" customFormat="false" ht="15" hidden="false" customHeight="false" outlineLevel="0" collapsed="false">
      <c r="A52" s="10" t="n">
        <v>44</v>
      </c>
      <c r="B52" s="11" t="s">
        <v>620</v>
      </c>
      <c r="C52" s="10" t="n">
        <v>1</v>
      </c>
      <c r="D52" s="11" t="s">
        <v>621</v>
      </c>
      <c r="E52" s="11" t="s">
        <v>564</v>
      </c>
      <c r="F52" s="11" t="s">
        <v>301</v>
      </c>
      <c r="G52" s="10" t="s">
        <v>622</v>
      </c>
      <c r="H52" s="10" t="s">
        <v>554</v>
      </c>
      <c r="I52" s="10" t="s">
        <v>623</v>
      </c>
      <c r="J52" s="12" t="n">
        <v>3045000</v>
      </c>
      <c r="K52" s="12" t="n">
        <f aca="false">IF(ISNUMBER(J52),INT(J52/C52),0)</f>
        <v>3045000</v>
      </c>
      <c r="L52" s="13" t="n">
        <v>0.0008</v>
      </c>
      <c r="M52" s="17" t="s">
        <v>11</v>
      </c>
      <c r="N52" s="11" t="s">
        <v>257</v>
      </c>
      <c r="O52" s="11"/>
      <c r="P52" s="11" t="s">
        <v>624</v>
      </c>
      <c r="Q52" s="10" t="s">
        <v>625</v>
      </c>
      <c r="R52" s="12" t="n">
        <v>8387000</v>
      </c>
      <c r="S52" s="15" t="s">
        <v>18</v>
      </c>
      <c r="T52" s="11" t="s">
        <v>626</v>
      </c>
      <c r="U52" s="11" t="s">
        <v>627</v>
      </c>
      <c r="V52" s="10" t="s">
        <v>628</v>
      </c>
      <c r="W52" s="12" t="n">
        <v>7638200</v>
      </c>
      <c r="X52" s="15" t="s">
        <v>18</v>
      </c>
      <c r="Y52" s="11" t="s">
        <v>629</v>
      </c>
      <c r="Z52" s="10" t="n">
        <f aca="false">IF(ISNUMBER(J52),IF(J52&gt;=100*C52,1,0),0)+IF(ISNUMBER(R52),IF(R52&gt;=100*C52,1,0),0)+IF(ISNUMBER(W52),IF(W52&gt;=100*C52,1,0),0)</f>
        <v>3</v>
      </c>
    </row>
    <row r="53" customFormat="false" ht="32.8" hidden="false" customHeight="false" outlineLevel="0" collapsed="false">
      <c r="A53" s="10" t="n">
        <v>45</v>
      </c>
      <c r="B53" s="11" t="s">
        <v>630</v>
      </c>
      <c r="C53" s="10" t="n">
        <v>14</v>
      </c>
      <c r="D53" s="11" t="s">
        <v>631</v>
      </c>
      <c r="E53" s="11" t="s">
        <v>564</v>
      </c>
      <c r="F53" s="11" t="s">
        <v>301</v>
      </c>
      <c r="G53" s="10" t="s">
        <v>632</v>
      </c>
      <c r="H53" s="10" t="s">
        <v>554</v>
      </c>
      <c r="I53" s="10" t="s">
        <v>633</v>
      </c>
      <c r="J53" s="12" t="n">
        <v>8909200</v>
      </c>
      <c r="K53" s="12" t="n">
        <f aca="false">IF(ISNUMBER(J53),INT(J53/C53),0)</f>
        <v>636371</v>
      </c>
      <c r="L53" s="13" t="n">
        <v>0.0008</v>
      </c>
      <c r="M53" s="17" t="s">
        <v>11</v>
      </c>
      <c r="N53" s="11" t="s">
        <v>257</v>
      </c>
      <c r="O53" s="11"/>
      <c r="P53" s="11" t="s">
        <v>634</v>
      </c>
      <c r="Q53" s="10" t="s">
        <v>635</v>
      </c>
      <c r="R53" s="12" t="n">
        <v>14359800</v>
      </c>
      <c r="S53" s="15" t="s">
        <v>18</v>
      </c>
      <c r="T53" s="11" t="s">
        <v>636</v>
      </c>
      <c r="U53" s="11" t="s">
        <v>637</v>
      </c>
      <c r="V53" s="10" t="s">
        <v>638</v>
      </c>
      <c r="W53" s="12" t="n">
        <v>209800</v>
      </c>
      <c r="X53" s="15" t="s">
        <v>18</v>
      </c>
      <c r="Y53" s="11" t="s">
        <v>639</v>
      </c>
      <c r="Z53" s="10" t="n">
        <f aca="false">IF(ISNUMBER(J53),IF(J53&gt;=100*C53,1,0),0)+IF(ISNUMBER(R53),IF(R53&gt;=100*C53,1,0),0)+IF(ISNUMBER(W53),IF(W53&gt;=100*C53,1,0),0)</f>
        <v>3</v>
      </c>
    </row>
    <row r="54" customFormat="false" ht="15" hidden="false" customHeight="false" outlineLevel="0" collapsed="false">
      <c r="A54" s="10" t="n">
        <v>46</v>
      </c>
      <c r="B54" s="11" t="s">
        <v>640</v>
      </c>
      <c r="C54" s="10" t="n">
        <v>2</v>
      </c>
      <c r="D54" s="11" t="s">
        <v>641</v>
      </c>
      <c r="E54" s="11" t="s">
        <v>552</v>
      </c>
      <c r="F54" s="11" t="s">
        <v>267</v>
      </c>
      <c r="G54" s="10" t="s">
        <v>642</v>
      </c>
      <c r="H54" s="10" t="s">
        <v>542</v>
      </c>
      <c r="I54" s="10" t="s">
        <v>643</v>
      </c>
      <c r="J54" s="12" t="n">
        <v>423800</v>
      </c>
      <c r="K54" s="12" t="n">
        <f aca="false">IF(ISNUMBER(J54),INT(J54/C54),0)</f>
        <v>211900</v>
      </c>
      <c r="L54" s="13" t="n">
        <v>0.001</v>
      </c>
      <c r="M54" s="17" t="s">
        <v>11</v>
      </c>
      <c r="N54" s="11" t="s">
        <v>644</v>
      </c>
      <c r="O54" s="11"/>
      <c r="P54" s="11" t="s">
        <v>645</v>
      </c>
      <c r="Q54" s="10" t="s">
        <v>646</v>
      </c>
      <c r="R54" s="12" t="n">
        <v>191800</v>
      </c>
      <c r="S54" s="15" t="s">
        <v>18</v>
      </c>
      <c r="T54" s="11" t="s">
        <v>647</v>
      </c>
      <c r="U54" s="11"/>
      <c r="V54" s="10"/>
      <c r="W54" s="12"/>
      <c r="X54" s="18"/>
      <c r="Y54" s="11" t="s">
        <v>208</v>
      </c>
      <c r="Z54" s="10" t="n">
        <f aca="false">IF(ISNUMBER(J54),IF(J54&gt;=100*C54,1,0),0)+IF(ISNUMBER(R54),IF(R54&gt;=100*C54,1,0),0)+IF(ISNUMBER(W54),IF(W54&gt;=100*C54,1,0),0)</f>
        <v>2</v>
      </c>
    </row>
    <row r="55" customFormat="false" ht="15" hidden="false" customHeight="false" outlineLevel="0" collapsed="false">
      <c r="A55" s="10" t="n">
        <v>47</v>
      </c>
      <c r="B55" s="11" t="s">
        <v>648</v>
      </c>
      <c r="C55" s="10" t="n">
        <v>2</v>
      </c>
      <c r="D55" s="11" t="s">
        <v>649</v>
      </c>
      <c r="E55" s="11" t="s">
        <v>552</v>
      </c>
      <c r="F55" s="11" t="s">
        <v>267</v>
      </c>
      <c r="G55" s="10" t="s">
        <v>650</v>
      </c>
      <c r="H55" s="10" t="s">
        <v>542</v>
      </c>
      <c r="I55" s="10" t="s">
        <v>39</v>
      </c>
      <c r="J55" s="12" t="n">
        <v>3848600</v>
      </c>
      <c r="K55" s="12" t="n">
        <f aca="false">IF(ISNUMBER(J55),INT(J55/C55),0)</f>
        <v>1924300</v>
      </c>
      <c r="L55" s="13" t="n">
        <v>0.0013</v>
      </c>
      <c r="M55" s="17" t="s">
        <v>11</v>
      </c>
      <c r="N55" s="11" t="s">
        <v>257</v>
      </c>
      <c r="O55" s="11"/>
      <c r="P55" s="11" t="s">
        <v>651</v>
      </c>
      <c r="Q55" s="10" t="s">
        <v>652</v>
      </c>
      <c r="R55" s="12" t="n">
        <v>445600</v>
      </c>
      <c r="S55" s="15" t="s">
        <v>18</v>
      </c>
      <c r="T55" s="11" t="s">
        <v>653</v>
      </c>
      <c r="U55" s="11"/>
      <c r="V55" s="10"/>
      <c r="W55" s="12"/>
      <c r="X55" s="18"/>
      <c r="Y55" s="11" t="s">
        <v>208</v>
      </c>
      <c r="Z55" s="10" t="n">
        <f aca="false">IF(ISNUMBER(J55),IF(J55&gt;=100*C55,1,0),0)+IF(ISNUMBER(R55),IF(R55&gt;=100*C55,1,0),0)+IF(ISNUMBER(W55),IF(W55&gt;=100*C55,1,0),0)</f>
        <v>2</v>
      </c>
    </row>
    <row r="56" customFormat="false" ht="15" hidden="false" customHeight="false" outlineLevel="0" collapsed="false">
      <c r="A56" s="10" t="n">
        <v>48</v>
      </c>
      <c r="B56" s="11" t="s">
        <v>654</v>
      </c>
      <c r="C56" s="10" t="n">
        <v>1</v>
      </c>
      <c r="D56" s="11" t="s">
        <v>655</v>
      </c>
      <c r="E56" s="11" t="s">
        <v>552</v>
      </c>
      <c r="F56" s="11" t="s">
        <v>267</v>
      </c>
      <c r="G56" s="10" t="s">
        <v>656</v>
      </c>
      <c r="H56" s="10" t="s">
        <v>554</v>
      </c>
      <c r="I56" s="10" t="s">
        <v>657</v>
      </c>
      <c r="J56" s="12" t="n">
        <v>655300</v>
      </c>
      <c r="K56" s="12" t="n">
        <f aca="false">IF(ISNUMBER(J56),INT(J56/C56),0)</f>
        <v>655300</v>
      </c>
      <c r="L56" s="13" t="n">
        <v>0.0014</v>
      </c>
      <c r="M56" s="17" t="s">
        <v>11</v>
      </c>
      <c r="N56" s="11" t="s">
        <v>257</v>
      </c>
      <c r="O56" s="11"/>
      <c r="P56" s="11" t="s">
        <v>658</v>
      </c>
      <c r="Q56" s="10" t="s">
        <v>659</v>
      </c>
      <c r="R56" s="12" t="n">
        <v>272700</v>
      </c>
      <c r="S56" s="15" t="s">
        <v>18</v>
      </c>
      <c r="T56" s="11" t="s">
        <v>660</v>
      </c>
      <c r="U56" s="11" t="s">
        <v>661</v>
      </c>
      <c r="V56" s="10" t="s">
        <v>662</v>
      </c>
      <c r="W56" s="12" t="n">
        <v>2245400</v>
      </c>
      <c r="X56" s="15" t="s">
        <v>18</v>
      </c>
      <c r="Y56" s="11" t="s">
        <v>663</v>
      </c>
      <c r="Z56" s="10" t="n">
        <f aca="false">IF(ISNUMBER(J56),IF(J56&gt;=100*C56,1,0),0)+IF(ISNUMBER(R56),IF(R56&gt;=100*C56,1,0),0)+IF(ISNUMBER(W56),IF(W56&gt;=100*C56,1,0),0)</f>
        <v>3</v>
      </c>
    </row>
    <row r="57" customFormat="false" ht="15" hidden="false" customHeight="false" outlineLevel="0" collapsed="false">
      <c r="A57" s="10" t="n">
        <v>49</v>
      </c>
      <c r="B57" s="11" t="s">
        <v>664</v>
      </c>
      <c r="C57" s="10" t="n">
        <v>1</v>
      </c>
      <c r="D57" s="11" t="s">
        <v>665</v>
      </c>
      <c r="E57" s="11" t="s">
        <v>564</v>
      </c>
      <c r="F57" s="11" t="s">
        <v>301</v>
      </c>
      <c r="G57" s="10" t="s">
        <v>666</v>
      </c>
      <c r="H57" s="10" t="s">
        <v>554</v>
      </c>
      <c r="I57" s="10" t="s">
        <v>667</v>
      </c>
      <c r="J57" s="12" t="n">
        <v>2300</v>
      </c>
      <c r="K57" s="12" t="n">
        <f aca="false">IF(ISNUMBER(J57),INT(J57/C57),0)</f>
        <v>2300</v>
      </c>
      <c r="L57" s="13" t="n">
        <v>0.0011</v>
      </c>
      <c r="M57" s="17" t="s">
        <v>11</v>
      </c>
      <c r="N57" s="11" t="s">
        <v>257</v>
      </c>
      <c r="O57" s="11"/>
      <c r="P57" s="11" t="s">
        <v>668</v>
      </c>
      <c r="Q57" s="10" t="s">
        <v>669</v>
      </c>
      <c r="R57" s="12" t="n">
        <v>473100</v>
      </c>
      <c r="S57" s="15" t="s">
        <v>18</v>
      </c>
      <c r="T57" s="11" t="s">
        <v>670</v>
      </c>
      <c r="U57" s="11" t="s">
        <v>671</v>
      </c>
      <c r="V57" s="10" t="s">
        <v>672</v>
      </c>
      <c r="W57" s="12" t="n">
        <v>1801400</v>
      </c>
      <c r="X57" s="15" t="s">
        <v>18</v>
      </c>
      <c r="Y57" s="11" t="s">
        <v>673</v>
      </c>
      <c r="Z57" s="10" t="n">
        <f aca="false">IF(ISNUMBER(J57),IF(J57&gt;=100*C57,1,0),0)+IF(ISNUMBER(R57),IF(R57&gt;=100*C57,1,0),0)+IF(ISNUMBER(W57),IF(W57&gt;=100*C57,1,0),0)</f>
        <v>3</v>
      </c>
    </row>
    <row r="58" customFormat="false" ht="15" hidden="false" customHeight="false" outlineLevel="0" collapsed="false">
      <c r="A58" s="10" t="n">
        <v>50</v>
      </c>
      <c r="B58" s="11" t="s">
        <v>674</v>
      </c>
      <c r="C58" s="10" t="n">
        <v>1</v>
      </c>
      <c r="D58" s="11" t="s">
        <v>675</v>
      </c>
      <c r="E58" s="11" t="s">
        <v>564</v>
      </c>
      <c r="F58" s="11" t="s">
        <v>301</v>
      </c>
      <c r="G58" s="10" t="s">
        <v>676</v>
      </c>
      <c r="H58" s="10" t="s">
        <v>554</v>
      </c>
      <c r="I58" s="10" t="s">
        <v>677</v>
      </c>
      <c r="J58" s="12" t="n">
        <v>390700</v>
      </c>
      <c r="K58" s="12" t="n">
        <f aca="false">IF(ISNUMBER(J58),INT(J58/C58),0)</f>
        <v>390700</v>
      </c>
      <c r="L58" s="13" t="n">
        <v>0.0006</v>
      </c>
      <c r="M58" s="17" t="s">
        <v>11</v>
      </c>
      <c r="N58" s="11" t="s">
        <v>257</v>
      </c>
      <c r="O58" s="11"/>
      <c r="P58" s="11" t="s">
        <v>678</v>
      </c>
      <c r="Q58" s="10" t="s">
        <v>679</v>
      </c>
      <c r="R58" s="12" t="n">
        <v>1326500</v>
      </c>
      <c r="S58" s="15" t="s">
        <v>18</v>
      </c>
      <c r="T58" s="11" t="s">
        <v>680</v>
      </c>
      <c r="U58" s="11" t="s">
        <v>681</v>
      </c>
      <c r="V58" s="10" t="s">
        <v>682</v>
      </c>
      <c r="W58" s="12" t="n">
        <v>1322500</v>
      </c>
      <c r="X58" s="15" t="s">
        <v>18</v>
      </c>
      <c r="Y58" s="11" t="s">
        <v>683</v>
      </c>
      <c r="Z58" s="10" t="n">
        <f aca="false">IF(ISNUMBER(J58),IF(J58&gt;=100*C58,1,0),0)+IF(ISNUMBER(R58),IF(R58&gt;=100*C58,1,0),0)+IF(ISNUMBER(W58),IF(W58&gt;=100*C58,1,0),0)</f>
        <v>3</v>
      </c>
    </row>
    <row r="59" customFormat="false" ht="15" hidden="false" customHeight="false" outlineLevel="0" collapsed="false">
      <c r="A59" s="10" t="n">
        <v>52</v>
      </c>
      <c r="B59" s="11" t="s">
        <v>684</v>
      </c>
      <c r="C59" s="10" t="n">
        <v>1</v>
      </c>
      <c r="D59" s="11" t="s">
        <v>685</v>
      </c>
      <c r="E59" s="11" t="s">
        <v>564</v>
      </c>
      <c r="F59" s="11" t="s">
        <v>301</v>
      </c>
      <c r="G59" s="10" t="s">
        <v>686</v>
      </c>
      <c r="H59" s="10" t="s">
        <v>687</v>
      </c>
      <c r="I59" s="10" t="s">
        <v>45</v>
      </c>
      <c r="J59" s="12" t="n">
        <v>55710</v>
      </c>
      <c r="K59" s="12" t="n">
        <f aca="false">IF(ISNUMBER(J59),INT(J59/C59),0)</f>
        <v>55710</v>
      </c>
      <c r="L59" s="13" t="n">
        <v>0.0341</v>
      </c>
      <c r="M59" s="17" t="s">
        <v>11</v>
      </c>
      <c r="N59" s="11" t="s">
        <v>257</v>
      </c>
      <c r="O59" s="11"/>
      <c r="P59" s="11" t="s">
        <v>688</v>
      </c>
      <c r="Q59" s="10" t="s">
        <v>689</v>
      </c>
      <c r="R59" s="12" t="n">
        <v>7510</v>
      </c>
      <c r="S59" s="15" t="s">
        <v>18</v>
      </c>
      <c r="T59" s="11" t="s">
        <v>690</v>
      </c>
      <c r="U59" s="11"/>
      <c r="V59" s="10"/>
      <c r="W59" s="12"/>
      <c r="X59" s="18"/>
      <c r="Y59" s="11" t="s">
        <v>208</v>
      </c>
      <c r="Z59" s="10" t="n">
        <f aca="false">IF(ISNUMBER(J59),IF(J59&gt;=100*C59,1,0),0)+IF(ISNUMBER(R59),IF(R59&gt;=100*C59,1,0),0)+IF(ISNUMBER(W59),IF(W59&gt;=100*C59,1,0),0)</f>
        <v>2</v>
      </c>
    </row>
    <row r="60" customFormat="false" ht="15" hidden="false" customHeight="false" outlineLevel="0" collapsed="false">
      <c r="A60" s="10" t="n">
        <v>53</v>
      </c>
      <c r="B60" s="11" t="s">
        <v>691</v>
      </c>
      <c r="C60" s="10" t="n">
        <v>1</v>
      </c>
      <c r="D60" s="11" t="s">
        <v>692</v>
      </c>
      <c r="E60" s="11" t="s">
        <v>564</v>
      </c>
      <c r="F60" s="11" t="s">
        <v>301</v>
      </c>
      <c r="G60" s="10" t="s">
        <v>693</v>
      </c>
      <c r="H60" s="10" t="s">
        <v>554</v>
      </c>
      <c r="I60" s="10" t="s">
        <v>694</v>
      </c>
      <c r="J60" s="12" t="n">
        <v>5900</v>
      </c>
      <c r="K60" s="12" t="n">
        <f aca="false">IF(ISNUMBER(J60),INT(J60/C60),0)</f>
        <v>5900</v>
      </c>
      <c r="L60" s="13" t="n">
        <v>0.0005</v>
      </c>
      <c r="M60" s="17" t="s">
        <v>11</v>
      </c>
      <c r="N60" s="11" t="s">
        <v>257</v>
      </c>
      <c r="O60" s="11"/>
      <c r="P60" s="11" t="s">
        <v>695</v>
      </c>
      <c r="Q60" s="10" t="s">
        <v>696</v>
      </c>
      <c r="R60" s="12" t="n">
        <v>115100</v>
      </c>
      <c r="S60" s="15" t="s">
        <v>18</v>
      </c>
      <c r="T60" s="11" t="s">
        <v>697</v>
      </c>
      <c r="U60" s="11" t="s">
        <v>698</v>
      </c>
      <c r="V60" s="10" t="s">
        <v>699</v>
      </c>
      <c r="W60" s="12" t="n">
        <v>349600</v>
      </c>
      <c r="X60" s="15" t="s">
        <v>18</v>
      </c>
      <c r="Y60" s="11" t="s">
        <v>700</v>
      </c>
      <c r="Z60" s="10" t="n">
        <f aca="false">IF(ISNUMBER(J60),IF(J60&gt;=100*C60,1,0),0)+IF(ISNUMBER(R60),IF(R60&gt;=100*C60,1,0),0)+IF(ISNUMBER(W60),IF(W60&gt;=100*C60,1,0),0)</f>
        <v>3</v>
      </c>
    </row>
    <row r="61" customFormat="false" ht="15" hidden="false" customHeight="false" outlineLevel="0" collapsed="false">
      <c r="A61" s="10" t="n">
        <v>54</v>
      </c>
      <c r="B61" s="11" t="s">
        <v>701</v>
      </c>
      <c r="C61" s="10" t="n">
        <v>1</v>
      </c>
      <c r="D61" s="11" t="s">
        <v>702</v>
      </c>
      <c r="E61" s="11" t="s">
        <v>564</v>
      </c>
      <c r="F61" s="11" t="s">
        <v>301</v>
      </c>
      <c r="G61" s="10" t="s">
        <v>703</v>
      </c>
      <c r="H61" s="10" t="s">
        <v>542</v>
      </c>
      <c r="I61" s="10" t="s">
        <v>42</v>
      </c>
      <c r="J61" s="12" t="n">
        <v>4263000</v>
      </c>
      <c r="K61" s="12" t="n">
        <f aca="false">IF(ISNUMBER(J61),INT(J61/C61),0)</f>
        <v>4263000</v>
      </c>
      <c r="L61" s="13" t="n">
        <v>0.0011</v>
      </c>
      <c r="M61" s="17" t="s">
        <v>11</v>
      </c>
      <c r="N61" s="11" t="s">
        <v>257</v>
      </c>
      <c r="O61" s="11"/>
      <c r="P61" s="11" t="s">
        <v>704</v>
      </c>
      <c r="Q61" s="10" t="s">
        <v>705</v>
      </c>
      <c r="R61" s="12" t="n">
        <v>2478600</v>
      </c>
      <c r="S61" s="15" t="s">
        <v>18</v>
      </c>
      <c r="T61" s="11" t="s">
        <v>706</v>
      </c>
      <c r="U61" s="11"/>
      <c r="V61" s="10"/>
      <c r="W61" s="12"/>
      <c r="X61" s="18"/>
      <c r="Y61" s="11" t="s">
        <v>208</v>
      </c>
      <c r="Z61" s="10" t="n">
        <f aca="false">IF(ISNUMBER(J61),IF(J61&gt;=100*C61,1,0),0)+IF(ISNUMBER(R61),IF(R61&gt;=100*C61,1,0),0)+IF(ISNUMBER(W61),IF(W61&gt;=100*C61,1,0),0)</f>
        <v>2</v>
      </c>
    </row>
    <row r="62" customFormat="false" ht="15" hidden="false" customHeight="false" outlineLevel="0" collapsed="false">
      <c r="A62" s="10" t="n">
        <v>55</v>
      </c>
      <c r="B62" s="11" t="s">
        <v>707</v>
      </c>
      <c r="C62" s="10" t="n">
        <v>1</v>
      </c>
      <c r="D62" s="11" t="s">
        <v>708</v>
      </c>
      <c r="E62" s="11" t="s">
        <v>564</v>
      </c>
      <c r="F62" s="11" t="s">
        <v>301</v>
      </c>
      <c r="G62" s="10" t="s">
        <v>709</v>
      </c>
      <c r="H62" s="10" t="s">
        <v>554</v>
      </c>
      <c r="I62" s="10" t="s">
        <v>710</v>
      </c>
      <c r="J62" s="12" t="n">
        <v>2245100</v>
      </c>
      <c r="K62" s="12" t="n">
        <f aca="false">IF(ISNUMBER(J62),INT(J62/C62),0)</f>
        <v>2245100</v>
      </c>
      <c r="L62" s="13" t="n">
        <v>0.0008</v>
      </c>
      <c r="M62" s="17" t="s">
        <v>11</v>
      </c>
      <c r="N62" s="11" t="s">
        <v>257</v>
      </c>
      <c r="O62" s="11"/>
      <c r="P62" s="11" t="s">
        <v>711</v>
      </c>
      <c r="Q62" s="10" t="s">
        <v>712</v>
      </c>
      <c r="R62" s="12" t="n">
        <v>8076400</v>
      </c>
      <c r="S62" s="15" t="s">
        <v>18</v>
      </c>
      <c r="T62" s="11" t="s">
        <v>713</v>
      </c>
      <c r="U62" s="11" t="s">
        <v>714</v>
      </c>
      <c r="V62" s="10" t="s">
        <v>715</v>
      </c>
      <c r="W62" s="12" t="n">
        <v>4253800</v>
      </c>
      <c r="X62" s="15" t="s">
        <v>18</v>
      </c>
      <c r="Y62" s="11" t="s">
        <v>716</v>
      </c>
      <c r="Z62" s="10" t="n">
        <f aca="false">IF(ISNUMBER(J62),IF(J62&gt;=100*C62,1,0),0)+IF(ISNUMBER(R62),IF(R62&gt;=100*C62,1,0),0)+IF(ISNUMBER(W62),IF(W62&gt;=100*C62,1,0),0)</f>
        <v>3</v>
      </c>
    </row>
    <row r="63" customFormat="false" ht="15" hidden="false" customHeight="false" outlineLevel="0" collapsed="false">
      <c r="A63" s="10" t="n">
        <v>56</v>
      </c>
      <c r="B63" s="11" t="s">
        <v>717</v>
      </c>
      <c r="C63" s="10" t="n">
        <v>1</v>
      </c>
      <c r="D63" s="11" t="s">
        <v>718</v>
      </c>
      <c r="E63" s="11" t="s">
        <v>564</v>
      </c>
      <c r="F63" s="11" t="s">
        <v>301</v>
      </c>
      <c r="G63" s="10" t="s">
        <v>719</v>
      </c>
      <c r="H63" s="10" t="s">
        <v>204</v>
      </c>
      <c r="I63" s="10" t="s">
        <v>720</v>
      </c>
      <c r="J63" s="12" t="n">
        <v>4300</v>
      </c>
      <c r="K63" s="12" t="n">
        <f aca="false">IF(ISNUMBER(J63),INT(J63/C63),0)</f>
        <v>4300</v>
      </c>
      <c r="L63" s="13" t="n">
        <v>0.0031</v>
      </c>
      <c r="M63" s="17" t="s">
        <v>11</v>
      </c>
      <c r="N63" s="11" t="s">
        <v>257</v>
      </c>
      <c r="O63" s="11"/>
      <c r="P63" s="11" t="s">
        <v>721</v>
      </c>
      <c r="Q63" s="10" t="s">
        <v>722</v>
      </c>
      <c r="R63" s="12" t="n">
        <v>108900</v>
      </c>
      <c r="S63" s="15" t="s">
        <v>18</v>
      </c>
      <c r="T63" s="11" t="s">
        <v>723</v>
      </c>
      <c r="U63" s="11" t="s">
        <v>724</v>
      </c>
      <c r="V63" s="10" t="s">
        <v>725</v>
      </c>
      <c r="W63" s="12" t="n">
        <v>48400</v>
      </c>
      <c r="X63" s="15" t="s">
        <v>18</v>
      </c>
      <c r="Y63" s="11" t="s">
        <v>726</v>
      </c>
      <c r="Z63" s="10" t="n">
        <f aca="false">IF(ISNUMBER(J63),IF(J63&gt;=100*C63,1,0),0)+IF(ISNUMBER(R63),IF(R63&gt;=100*C63,1,0),0)+IF(ISNUMBER(W63),IF(W63&gt;=100*C63,1,0),0)</f>
        <v>3</v>
      </c>
    </row>
    <row r="64" customFormat="false" ht="15" hidden="false" customHeight="false" outlineLevel="0" collapsed="false">
      <c r="A64" s="10" t="n">
        <v>57</v>
      </c>
      <c r="B64" s="11" t="s">
        <v>727</v>
      </c>
      <c r="C64" s="10" t="n">
        <v>1</v>
      </c>
      <c r="D64" s="11" t="s">
        <v>728</v>
      </c>
      <c r="E64" s="11" t="s">
        <v>552</v>
      </c>
      <c r="F64" s="11" t="s">
        <v>267</v>
      </c>
      <c r="G64" s="10" t="s">
        <v>729</v>
      </c>
      <c r="H64" s="10" t="s">
        <v>554</v>
      </c>
      <c r="I64" s="10" t="s">
        <v>730</v>
      </c>
      <c r="J64" s="12" t="n">
        <v>1142980</v>
      </c>
      <c r="K64" s="12" t="n">
        <f aca="false">IF(ISNUMBER(J64),INT(J64/C64),0)</f>
        <v>1142980</v>
      </c>
      <c r="L64" s="13" t="n">
        <v>0.0017</v>
      </c>
      <c r="M64" s="17" t="s">
        <v>11</v>
      </c>
      <c r="N64" s="11" t="s">
        <v>257</v>
      </c>
      <c r="O64" s="11"/>
      <c r="P64" s="11" t="s">
        <v>731</v>
      </c>
      <c r="Q64" s="10" t="s">
        <v>732</v>
      </c>
      <c r="R64" s="12" t="n">
        <v>5228200</v>
      </c>
      <c r="S64" s="15" t="s">
        <v>18</v>
      </c>
      <c r="T64" s="11" t="s">
        <v>733</v>
      </c>
      <c r="U64" s="11" t="s">
        <v>734</v>
      </c>
      <c r="V64" s="10" t="s">
        <v>735</v>
      </c>
      <c r="W64" s="12" t="n">
        <v>1939500</v>
      </c>
      <c r="X64" s="15" t="s">
        <v>18</v>
      </c>
      <c r="Y64" s="11" t="s">
        <v>736</v>
      </c>
      <c r="Z64" s="10" t="n">
        <f aca="false">IF(ISNUMBER(J64),IF(J64&gt;=100*C64,1,0),0)+IF(ISNUMBER(R64),IF(R64&gt;=100*C64,1,0),0)+IF(ISNUMBER(W64),IF(W64&gt;=100*C64,1,0),0)</f>
        <v>3</v>
      </c>
    </row>
    <row r="65" customFormat="false" ht="15" hidden="false" customHeight="false" outlineLevel="0" collapsed="false">
      <c r="A65" s="10" t="n">
        <v>58</v>
      </c>
      <c r="B65" s="11" t="s">
        <v>737</v>
      </c>
      <c r="C65" s="10" t="n">
        <v>1</v>
      </c>
      <c r="D65" s="11" t="s">
        <v>738</v>
      </c>
      <c r="E65" s="11" t="s">
        <v>202</v>
      </c>
      <c r="F65" s="11" t="s">
        <v>152</v>
      </c>
      <c r="G65" s="10" t="s">
        <v>739</v>
      </c>
      <c r="H65" s="10" t="s">
        <v>554</v>
      </c>
      <c r="I65" s="10" t="s">
        <v>740</v>
      </c>
      <c r="J65" s="12" t="n">
        <v>454700</v>
      </c>
      <c r="K65" s="12" t="n">
        <f aca="false">IF(ISNUMBER(J65),INT(J65/C65),0)</f>
        <v>454700</v>
      </c>
      <c r="L65" s="13" t="n">
        <v>0.0041</v>
      </c>
      <c r="M65" s="17" t="s">
        <v>11</v>
      </c>
      <c r="N65" s="11" t="s">
        <v>257</v>
      </c>
      <c r="O65" s="11"/>
      <c r="P65" s="11" t="s">
        <v>741</v>
      </c>
      <c r="Q65" s="10" t="s">
        <v>742</v>
      </c>
      <c r="R65" s="12" t="n">
        <v>7000</v>
      </c>
      <c r="S65" s="15" t="s">
        <v>18</v>
      </c>
      <c r="T65" s="11" t="s">
        <v>743</v>
      </c>
      <c r="U65" s="11" t="s">
        <v>744</v>
      </c>
      <c r="V65" s="10" t="s">
        <v>745</v>
      </c>
      <c r="W65" s="12" t="n">
        <v>9680</v>
      </c>
      <c r="X65" s="15" t="s">
        <v>18</v>
      </c>
      <c r="Y65" s="11" t="s">
        <v>746</v>
      </c>
      <c r="Z65" s="10" t="n">
        <f aca="false">IF(ISNUMBER(J65),IF(J65&gt;=100*C65,1,0),0)+IF(ISNUMBER(R65),IF(R65&gt;=100*C65,1,0),0)+IF(ISNUMBER(W65),IF(W65&gt;=100*C65,1,0),0)</f>
        <v>3</v>
      </c>
    </row>
    <row r="66" customFormat="false" ht="15" hidden="false" customHeight="false" outlineLevel="0" collapsed="false">
      <c r="A66" s="10" t="n">
        <v>59</v>
      </c>
      <c r="B66" s="11" t="s">
        <v>747</v>
      </c>
      <c r="C66" s="10" t="n">
        <v>1</v>
      </c>
      <c r="D66" s="11" t="s">
        <v>748</v>
      </c>
      <c r="E66" s="11" t="s">
        <v>202</v>
      </c>
      <c r="F66" s="11" t="s">
        <v>152</v>
      </c>
      <c r="G66" s="10" t="s">
        <v>749</v>
      </c>
      <c r="H66" s="10" t="s">
        <v>554</v>
      </c>
      <c r="I66" s="10" t="s">
        <v>750</v>
      </c>
      <c r="J66" s="12" t="n">
        <v>2003100</v>
      </c>
      <c r="K66" s="12" t="n">
        <f aca="false">IF(ISNUMBER(J66),INT(J66/C66),0)</f>
        <v>2003100</v>
      </c>
      <c r="L66" s="13" t="n">
        <v>0.0037</v>
      </c>
      <c r="M66" s="17" t="s">
        <v>11</v>
      </c>
      <c r="N66" s="11" t="s">
        <v>257</v>
      </c>
      <c r="O66" s="11"/>
      <c r="P66" s="11" t="s">
        <v>751</v>
      </c>
      <c r="Q66" s="10" t="s">
        <v>752</v>
      </c>
      <c r="R66" s="12" t="n">
        <v>47700</v>
      </c>
      <c r="S66" s="15" t="s">
        <v>18</v>
      </c>
      <c r="T66" s="11" t="s">
        <v>753</v>
      </c>
      <c r="U66" s="11" t="s">
        <v>754</v>
      </c>
      <c r="V66" s="10" t="s">
        <v>755</v>
      </c>
      <c r="W66" s="12" t="n">
        <v>5450</v>
      </c>
      <c r="X66" s="15" t="s">
        <v>18</v>
      </c>
      <c r="Y66" s="11" t="s">
        <v>756</v>
      </c>
      <c r="Z66" s="10" t="n">
        <f aca="false">IF(ISNUMBER(J66),IF(J66&gt;=100*C66,1,0),0)+IF(ISNUMBER(R66),IF(R66&gt;=100*C66,1,0),0)+IF(ISNUMBER(W66),IF(W66&gt;=100*C66,1,0),0)</f>
        <v>3</v>
      </c>
    </row>
    <row r="67" customFormat="false" ht="15" hidden="false" customHeight="false" outlineLevel="0" collapsed="false">
      <c r="A67" s="10" t="n">
        <v>60</v>
      </c>
      <c r="B67" s="11" t="s">
        <v>757</v>
      </c>
      <c r="C67" s="10" t="n">
        <v>1</v>
      </c>
      <c r="D67" s="11" t="s">
        <v>758</v>
      </c>
      <c r="E67" s="11" t="s">
        <v>564</v>
      </c>
      <c r="F67" s="11" t="s">
        <v>301</v>
      </c>
      <c r="G67" s="10" t="s">
        <v>759</v>
      </c>
      <c r="H67" s="10" t="s">
        <v>554</v>
      </c>
      <c r="I67" s="10" t="s">
        <v>760</v>
      </c>
      <c r="J67" s="12" t="n">
        <v>778200</v>
      </c>
      <c r="K67" s="12" t="n">
        <f aca="false">IF(ISNUMBER(J67),INT(J67/C67),0)</f>
        <v>778200</v>
      </c>
      <c r="L67" s="13" t="n">
        <v>0.0013</v>
      </c>
      <c r="M67" s="17" t="s">
        <v>11</v>
      </c>
      <c r="N67" s="11" t="s">
        <v>257</v>
      </c>
      <c r="O67" s="11"/>
      <c r="P67" s="11" t="s">
        <v>761</v>
      </c>
      <c r="Q67" s="10" t="s">
        <v>762</v>
      </c>
      <c r="R67" s="12" t="n">
        <v>965400</v>
      </c>
      <c r="S67" s="15" t="s">
        <v>18</v>
      </c>
      <c r="T67" s="11" t="s">
        <v>763</v>
      </c>
      <c r="U67" s="11" t="s">
        <v>764</v>
      </c>
      <c r="V67" s="10" t="s">
        <v>765</v>
      </c>
      <c r="W67" s="12" t="n">
        <v>2177800</v>
      </c>
      <c r="X67" s="15" t="s">
        <v>18</v>
      </c>
      <c r="Y67" s="11" t="s">
        <v>766</v>
      </c>
      <c r="Z67" s="10" t="n">
        <f aca="false">IF(ISNUMBER(J67),IF(J67&gt;=100*C67,1,0),0)+IF(ISNUMBER(R67),IF(R67&gt;=100*C67,1,0),0)+IF(ISNUMBER(W67),IF(W67&gt;=100*C67,1,0),0)</f>
        <v>3</v>
      </c>
    </row>
    <row r="68" customFormat="false" ht="15" hidden="false" customHeight="false" outlineLevel="0" collapsed="false">
      <c r="A68" s="10" t="n">
        <v>61</v>
      </c>
      <c r="B68" s="11" t="s">
        <v>767</v>
      </c>
      <c r="C68" s="10" t="n">
        <v>1</v>
      </c>
      <c r="D68" s="11" t="s">
        <v>768</v>
      </c>
      <c r="E68" s="11" t="s">
        <v>564</v>
      </c>
      <c r="F68" s="11" t="s">
        <v>301</v>
      </c>
      <c r="G68" s="10" t="s">
        <v>769</v>
      </c>
      <c r="H68" s="10" t="s">
        <v>554</v>
      </c>
      <c r="I68" s="10" t="s">
        <v>770</v>
      </c>
      <c r="J68" s="12" t="n">
        <v>1408700</v>
      </c>
      <c r="K68" s="12" t="n">
        <f aca="false">IF(ISNUMBER(J68),INT(J68/C68),0)</f>
        <v>1408700</v>
      </c>
      <c r="L68" s="13" t="n">
        <v>0.0008</v>
      </c>
      <c r="M68" s="17" t="s">
        <v>11</v>
      </c>
      <c r="N68" s="11" t="s">
        <v>257</v>
      </c>
      <c r="O68" s="11"/>
      <c r="P68" s="11" t="s">
        <v>771</v>
      </c>
      <c r="Q68" s="10" t="s">
        <v>772</v>
      </c>
      <c r="R68" s="12" t="n">
        <v>307000</v>
      </c>
      <c r="S68" s="15" t="s">
        <v>18</v>
      </c>
      <c r="T68" s="11" t="s">
        <v>773</v>
      </c>
      <c r="U68" s="11" t="s">
        <v>774</v>
      </c>
      <c r="V68" s="10" t="s">
        <v>775</v>
      </c>
      <c r="W68" s="12" t="n">
        <v>1724400</v>
      </c>
      <c r="X68" s="15" t="s">
        <v>18</v>
      </c>
      <c r="Y68" s="11" t="s">
        <v>776</v>
      </c>
      <c r="Z68" s="10" t="n">
        <f aca="false">IF(ISNUMBER(J68),IF(J68&gt;=100*C68,1,0),0)+IF(ISNUMBER(R68),IF(R68&gt;=100*C68,1,0),0)+IF(ISNUMBER(W68),IF(W68&gt;=100*C68,1,0),0)</f>
        <v>3</v>
      </c>
    </row>
    <row r="69" customFormat="false" ht="22.35" hidden="false" customHeight="false" outlineLevel="0" collapsed="false">
      <c r="A69" s="10" t="n">
        <v>62</v>
      </c>
      <c r="B69" s="11" t="s">
        <v>777</v>
      </c>
      <c r="C69" s="10" t="n">
        <v>1</v>
      </c>
      <c r="D69" s="11" t="s">
        <v>748</v>
      </c>
      <c r="E69" s="11" t="s">
        <v>564</v>
      </c>
      <c r="F69" s="11" t="s">
        <v>301</v>
      </c>
      <c r="G69" s="10" t="s">
        <v>778</v>
      </c>
      <c r="H69" s="10" t="s">
        <v>554</v>
      </c>
      <c r="I69" s="10" t="s">
        <v>779</v>
      </c>
      <c r="J69" s="12" t="n">
        <v>8383200</v>
      </c>
      <c r="K69" s="12" t="n">
        <f aca="false">IF(ISNUMBER(J69),INT(J69/C69),0)</f>
        <v>8383200</v>
      </c>
      <c r="L69" s="13" t="n">
        <v>0.0011</v>
      </c>
      <c r="M69" s="17" t="s">
        <v>11</v>
      </c>
      <c r="N69" s="11" t="s">
        <v>257</v>
      </c>
      <c r="O69" s="11"/>
      <c r="P69" s="11" t="s">
        <v>780</v>
      </c>
      <c r="Q69" s="10" t="s">
        <v>781</v>
      </c>
      <c r="R69" s="12" t="n">
        <v>7531300</v>
      </c>
      <c r="S69" s="15" t="s">
        <v>18</v>
      </c>
      <c r="T69" s="11" t="s">
        <v>782</v>
      </c>
      <c r="U69" s="11" t="s">
        <v>783</v>
      </c>
      <c r="V69" s="10" t="s">
        <v>784</v>
      </c>
      <c r="W69" s="12" t="n">
        <v>89400</v>
      </c>
      <c r="X69" s="15" t="s">
        <v>18</v>
      </c>
      <c r="Y69" s="11" t="s">
        <v>785</v>
      </c>
      <c r="Z69" s="10" t="n">
        <f aca="false">IF(ISNUMBER(J69),IF(J69&gt;=100*C69,1,0),0)+IF(ISNUMBER(R69),IF(R69&gt;=100*C69,1,0),0)+IF(ISNUMBER(W69),IF(W69&gt;=100*C69,1,0),0)</f>
        <v>3</v>
      </c>
    </row>
    <row r="70" customFormat="false" ht="22.35" hidden="false" customHeight="false" outlineLevel="0" collapsed="false">
      <c r="A70" s="10" t="n">
        <v>63</v>
      </c>
      <c r="B70" s="11" t="s">
        <v>786</v>
      </c>
      <c r="C70" s="10" t="n">
        <v>1</v>
      </c>
      <c r="D70" s="11" t="s">
        <v>787</v>
      </c>
      <c r="E70" s="11" t="s">
        <v>788</v>
      </c>
      <c r="F70" s="11" t="s">
        <v>789</v>
      </c>
      <c r="G70" s="10" t="s">
        <v>787</v>
      </c>
      <c r="H70" s="10" t="s">
        <v>790</v>
      </c>
      <c r="I70" s="10" t="s">
        <v>57</v>
      </c>
      <c r="J70" s="12" t="n">
        <v>21240</v>
      </c>
      <c r="K70" s="12" t="n">
        <f aca="false">IF(ISNUMBER(J70),INT(J70/C70),0)</f>
        <v>21240</v>
      </c>
      <c r="L70" s="13" t="n">
        <v>0.0415</v>
      </c>
      <c r="M70" s="17" t="s">
        <v>11</v>
      </c>
      <c r="N70" s="11" t="s">
        <v>257</v>
      </c>
      <c r="O70" s="11"/>
      <c r="P70" s="11" t="s">
        <v>791</v>
      </c>
      <c r="Q70" s="10" t="s">
        <v>792</v>
      </c>
      <c r="R70" s="12" t="n">
        <v>3915</v>
      </c>
      <c r="S70" s="15" t="s">
        <v>18</v>
      </c>
      <c r="T70" s="11" t="s">
        <v>793</v>
      </c>
      <c r="U70" s="11" t="s">
        <v>794</v>
      </c>
      <c r="V70" s="10" t="s">
        <v>795</v>
      </c>
      <c r="W70" s="12" t="n">
        <v>3680</v>
      </c>
      <c r="X70" s="15" t="s">
        <v>18</v>
      </c>
      <c r="Y70" s="11" t="s">
        <v>417</v>
      </c>
      <c r="Z70" s="10" t="n">
        <f aca="false">IF(ISNUMBER(J70),IF(J70&gt;=100*C70,1,0),0)+IF(ISNUMBER(R70),IF(R70&gt;=100*C70,1,0),0)+IF(ISNUMBER(W70),IF(W70&gt;=100*C70,1,0),0)</f>
        <v>3</v>
      </c>
    </row>
    <row r="71" customFormat="false" ht="22.35" hidden="false" customHeight="false" outlineLevel="0" collapsed="false">
      <c r="A71" s="10" t="n">
        <v>64</v>
      </c>
      <c r="B71" s="11" t="s">
        <v>796</v>
      </c>
      <c r="C71" s="10" t="n">
        <v>1</v>
      </c>
      <c r="D71" s="11" t="s">
        <v>797</v>
      </c>
      <c r="E71" s="11" t="s">
        <v>788</v>
      </c>
      <c r="F71" s="11" t="s">
        <v>789</v>
      </c>
      <c r="G71" s="10" t="s">
        <v>798</v>
      </c>
      <c r="H71" s="10" t="s">
        <v>790</v>
      </c>
      <c r="I71" s="10" t="s">
        <v>799</v>
      </c>
      <c r="J71" s="12" t="n">
        <v>2140</v>
      </c>
      <c r="K71" s="12" t="n">
        <f aca="false">IF(ISNUMBER(J71),INT(J71/C71),0)</f>
        <v>2140</v>
      </c>
      <c r="L71" s="13" t="n">
        <v>0.0414</v>
      </c>
      <c r="M71" s="17" t="s">
        <v>11</v>
      </c>
      <c r="N71" s="11" t="s">
        <v>257</v>
      </c>
      <c r="O71" s="11"/>
      <c r="P71" s="11" t="s">
        <v>800</v>
      </c>
      <c r="Q71" s="10" t="s">
        <v>801</v>
      </c>
      <c r="R71" s="12" t="n">
        <v>223160</v>
      </c>
      <c r="S71" s="15" t="s">
        <v>18</v>
      </c>
      <c r="T71" s="11" t="s">
        <v>802</v>
      </c>
      <c r="U71" s="11" t="s">
        <v>803</v>
      </c>
      <c r="V71" s="10" t="s">
        <v>804</v>
      </c>
      <c r="W71" s="12" t="n">
        <v>4180</v>
      </c>
      <c r="X71" s="15" t="s">
        <v>18</v>
      </c>
      <c r="Y71" s="11" t="s">
        <v>805</v>
      </c>
      <c r="Z71" s="10" t="n">
        <f aca="false">IF(ISNUMBER(J71),IF(J71&gt;=100*C71,1,0),0)+IF(ISNUMBER(R71),IF(R71&gt;=100*C71,1,0),0)+IF(ISNUMBER(W71),IF(W71&gt;=100*C71,1,0),0)</f>
        <v>3</v>
      </c>
    </row>
    <row r="72" customFormat="false" ht="32.8" hidden="false" customHeight="false" outlineLevel="0" collapsed="false">
      <c r="A72" s="10" t="n">
        <v>65</v>
      </c>
      <c r="B72" s="11" t="s">
        <v>806</v>
      </c>
      <c r="C72" s="10" t="n">
        <v>1</v>
      </c>
      <c r="D72" s="11" t="s">
        <v>807</v>
      </c>
      <c r="E72" s="11" t="s">
        <v>808</v>
      </c>
      <c r="F72" s="11" t="s">
        <v>809</v>
      </c>
      <c r="G72" s="10" t="s">
        <v>810</v>
      </c>
      <c r="H72" s="10" t="s">
        <v>811</v>
      </c>
      <c r="I72" s="10" t="s">
        <v>812</v>
      </c>
      <c r="J72" s="12" t="n">
        <v>11262</v>
      </c>
      <c r="K72" s="12" t="n">
        <f aca="false">IF(ISNUMBER(J72),INT(J72/C72),0)</f>
        <v>11262</v>
      </c>
      <c r="L72" s="13" t="n">
        <v>0.3527</v>
      </c>
      <c r="M72" s="17" t="s">
        <v>11</v>
      </c>
      <c r="N72" s="11" t="s">
        <v>813</v>
      </c>
      <c r="O72" s="11"/>
      <c r="P72" s="11" t="s">
        <v>814</v>
      </c>
      <c r="Q72" s="10" t="s">
        <v>815</v>
      </c>
      <c r="R72" s="12" t="n">
        <v>2002</v>
      </c>
      <c r="S72" s="15" t="s">
        <v>18</v>
      </c>
      <c r="T72" s="11" t="s">
        <v>816</v>
      </c>
      <c r="U72" s="11" t="s">
        <v>817</v>
      </c>
      <c r="V72" s="10" t="s">
        <v>818</v>
      </c>
      <c r="W72" s="12" t="n">
        <v>4401</v>
      </c>
      <c r="X72" s="16" t="s">
        <v>20</v>
      </c>
      <c r="Y72" s="11" t="s">
        <v>819</v>
      </c>
      <c r="Z72" s="10" t="n">
        <f aca="false">IF(ISNUMBER(J72),IF(J72&gt;=100*C72,1,0),0)+IF(ISNUMBER(R72),IF(R72&gt;=100*C72,1,0),0)+IF(ISNUMBER(W72),IF(W72&gt;=100*C72,1,0),0)</f>
        <v>3</v>
      </c>
    </row>
    <row r="73" customFormat="false" ht="15" hidden="false" customHeight="false" outlineLevel="0" collapsed="false">
      <c r="A73" s="10" t="n">
        <v>67</v>
      </c>
      <c r="B73" s="11" t="s">
        <v>820</v>
      </c>
      <c r="C73" s="10" t="n">
        <v>1</v>
      </c>
      <c r="D73" s="11" t="s">
        <v>821</v>
      </c>
      <c r="E73" s="11" t="s">
        <v>552</v>
      </c>
      <c r="F73" s="11" t="s">
        <v>267</v>
      </c>
      <c r="G73" s="10" t="s">
        <v>822</v>
      </c>
      <c r="H73" s="10" t="s">
        <v>823</v>
      </c>
      <c r="I73" s="10" t="s">
        <v>824</v>
      </c>
      <c r="J73" s="12" t="n">
        <v>109660</v>
      </c>
      <c r="K73" s="12" t="n">
        <f aca="false">IF(ISNUMBER(J73),INT(J73/C73),0)</f>
        <v>109660</v>
      </c>
      <c r="L73" s="13" t="n">
        <v>0.0133</v>
      </c>
      <c r="M73" s="17" t="s">
        <v>11</v>
      </c>
      <c r="N73" s="11" t="s">
        <v>257</v>
      </c>
      <c r="O73" s="11"/>
      <c r="P73" s="11" t="s">
        <v>825</v>
      </c>
      <c r="Q73" s="10" t="s">
        <v>826</v>
      </c>
      <c r="R73" s="12" t="n">
        <v>50770</v>
      </c>
      <c r="S73" s="15" t="s">
        <v>18</v>
      </c>
      <c r="T73" s="11" t="s">
        <v>827</v>
      </c>
      <c r="U73" s="11" t="s">
        <v>828</v>
      </c>
      <c r="V73" s="10" t="s">
        <v>829</v>
      </c>
      <c r="W73" s="12" t="n">
        <v>5620</v>
      </c>
      <c r="X73" s="15" t="s">
        <v>18</v>
      </c>
      <c r="Y73" s="11" t="s">
        <v>830</v>
      </c>
      <c r="Z73" s="10" t="n">
        <f aca="false">IF(ISNUMBER(J73),IF(J73&gt;=100*C73,1,0),0)+IF(ISNUMBER(R73),IF(R73&gt;=100*C73,1,0),0)+IF(ISNUMBER(W73),IF(W73&gt;=100*C73,1,0),0)</f>
        <v>3</v>
      </c>
    </row>
    <row r="74" customFormat="false" ht="32.8" hidden="false" customHeight="false" outlineLevel="0" collapsed="false">
      <c r="A74" s="10" t="n">
        <v>69</v>
      </c>
      <c r="B74" s="11" t="s">
        <v>831</v>
      </c>
      <c r="C74" s="10" t="n">
        <v>2</v>
      </c>
      <c r="D74" s="11" t="s">
        <v>832</v>
      </c>
      <c r="E74" s="11" t="s">
        <v>833</v>
      </c>
      <c r="F74" s="11" t="s">
        <v>834</v>
      </c>
      <c r="G74" s="10" t="s">
        <v>832</v>
      </c>
      <c r="H74" s="10" t="s">
        <v>142</v>
      </c>
      <c r="I74" s="10" t="s">
        <v>835</v>
      </c>
      <c r="J74" s="12" t="n">
        <v>43365</v>
      </c>
      <c r="K74" s="12" t="n">
        <f aca="false">IF(ISNUMBER(J74),INT(J74/C74),0)</f>
        <v>21682</v>
      </c>
      <c r="L74" s="13" t="n">
        <v>0.3314</v>
      </c>
      <c r="M74" s="17" t="s">
        <v>11</v>
      </c>
      <c r="N74" s="11" t="s">
        <v>257</v>
      </c>
      <c r="O74" s="11"/>
      <c r="P74" s="11" t="s">
        <v>836</v>
      </c>
      <c r="Q74" s="10" t="s">
        <v>837</v>
      </c>
      <c r="R74" s="12" t="n">
        <v>34923</v>
      </c>
      <c r="S74" s="17" t="s">
        <v>16</v>
      </c>
      <c r="T74" s="11" t="s">
        <v>838</v>
      </c>
      <c r="U74" s="11" t="s">
        <v>839</v>
      </c>
      <c r="V74" s="10" t="s">
        <v>840</v>
      </c>
      <c r="W74" s="12" t="n">
        <v>20508</v>
      </c>
      <c r="X74" s="17" t="s">
        <v>16</v>
      </c>
      <c r="Y74" s="11" t="s">
        <v>841</v>
      </c>
      <c r="Z74" s="10" t="n">
        <f aca="false">IF(ISNUMBER(J74),IF(J74&gt;=100*C74,1,0),0)+IF(ISNUMBER(R74),IF(R74&gt;=100*C74,1,0),0)+IF(ISNUMBER(W74),IF(W74&gt;=100*C74,1,0),0)</f>
        <v>3</v>
      </c>
    </row>
    <row r="75" customFormat="false" ht="22.35" hidden="false" customHeight="false" outlineLevel="0" collapsed="false">
      <c r="A75" s="10" t="n">
        <v>70</v>
      </c>
      <c r="B75" s="11" t="s">
        <v>842</v>
      </c>
      <c r="C75" s="10" t="n">
        <v>1</v>
      </c>
      <c r="D75" s="11" t="s">
        <v>843</v>
      </c>
      <c r="E75" s="11" t="s">
        <v>844</v>
      </c>
      <c r="F75" s="11" t="s">
        <v>845</v>
      </c>
      <c r="G75" s="10" t="s">
        <v>843</v>
      </c>
      <c r="H75" s="10" t="s">
        <v>142</v>
      </c>
      <c r="I75" s="10" t="s">
        <v>846</v>
      </c>
      <c r="J75" s="12" t="n">
        <v>114670</v>
      </c>
      <c r="K75" s="12" t="n">
        <f aca="false">IF(ISNUMBER(J75),INT(J75/C75),0)</f>
        <v>114670</v>
      </c>
      <c r="L75" s="13" t="n">
        <v>0.0659</v>
      </c>
      <c r="M75" s="17" t="s">
        <v>11</v>
      </c>
      <c r="N75" s="11" t="s">
        <v>257</v>
      </c>
      <c r="O75" s="11"/>
      <c r="P75" s="11" t="s">
        <v>847</v>
      </c>
      <c r="Q75" s="10" t="s">
        <v>848</v>
      </c>
      <c r="R75" s="12" t="n">
        <v>57390</v>
      </c>
      <c r="S75" s="17" t="s">
        <v>16</v>
      </c>
      <c r="T75" s="11" t="s">
        <v>849</v>
      </c>
      <c r="U75" s="11" t="s">
        <v>850</v>
      </c>
      <c r="V75" s="10" t="s">
        <v>851</v>
      </c>
      <c r="W75" s="12" t="n">
        <v>273255</v>
      </c>
      <c r="X75" s="17" t="s">
        <v>16</v>
      </c>
      <c r="Y75" s="11" t="s">
        <v>852</v>
      </c>
      <c r="Z75" s="10" t="n">
        <f aca="false">IF(ISNUMBER(J75),IF(J75&gt;=100*C75,1,0),0)+IF(ISNUMBER(R75),IF(R75&gt;=100*C75,1,0),0)+IF(ISNUMBER(W75),IF(W75&gt;=100*C75,1,0),0)</f>
        <v>3</v>
      </c>
    </row>
    <row r="76" customFormat="false" ht="15" hidden="false" customHeight="false" outlineLevel="0" collapsed="false">
      <c r="A76" s="10" t="n">
        <v>71</v>
      </c>
      <c r="B76" s="11" t="s">
        <v>853</v>
      </c>
      <c r="C76" s="10" t="n">
        <v>1</v>
      </c>
      <c r="D76" s="11" t="s">
        <v>854</v>
      </c>
      <c r="E76" s="11" t="s">
        <v>833</v>
      </c>
      <c r="F76" s="11" t="s">
        <v>834</v>
      </c>
      <c r="G76" s="10" t="s">
        <v>854</v>
      </c>
      <c r="H76" s="10" t="s">
        <v>142</v>
      </c>
      <c r="I76" s="10" t="s">
        <v>855</v>
      </c>
      <c r="J76" s="12" t="n">
        <v>5213</v>
      </c>
      <c r="K76" s="12" t="n">
        <f aca="false">IF(ISNUMBER(J76),INT(J76/C76),0)</f>
        <v>5213</v>
      </c>
      <c r="L76" s="13" t="n">
        <v>0.2538</v>
      </c>
      <c r="M76" s="17" t="s">
        <v>11</v>
      </c>
      <c r="N76" s="11" t="s">
        <v>257</v>
      </c>
      <c r="O76" s="11"/>
      <c r="P76" s="11" t="s">
        <v>856</v>
      </c>
      <c r="Q76" s="10" t="s">
        <v>857</v>
      </c>
      <c r="R76" s="12" t="n">
        <v>514</v>
      </c>
      <c r="S76" s="15" t="s">
        <v>18</v>
      </c>
      <c r="T76" s="11" t="s">
        <v>858</v>
      </c>
      <c r="U76" s="11" t="s">
        <v>859</v>
      </c>
      <c r="V76" s="10" t="s">
        <v>860</v>
      </c>
      <c r="W76" s="12" t="n">
        <v>4285</v>
      </c>
      <c r="X76" s="16" t="s">
        <v>20</v>
      </c>
      <c r="Y76" s="11" t="s">
        <v>861</v>
      </c>
      <c r="Z76" s="10" t="n">
        <f aca="false">IF(ISNUMBER(J76),IF(J76&gt;=100*C76,1,0),0)+IF(ISNUMBER(R76),IF(R76&gt;=100*C76,1,0),0)+IF(ISNUMBER(W76),IF(W76&gt;=100*C76,1,0),0)</f>
        <v>3</v>
      </c>
    </row>
    <row r="77" customFormat="false" ht="15" hidden="false" customHeight="false" outlineLevel="0" collapsed="false">
      <c r="A77" s="10" t="n">
        <v>72</v>
      </c>
      <c r="B77" s="11" t="s">
        <v>862</v>
      </c>
      <c r="C77" s="10" t="n">
        <v>1</v>
      </c>
      <c r="D77" s="11" t="s">
        <v>863</v>
      </c>
      <c r="E77" s="11" t="s">
        <v>833</v>
      </c>
      <c r="F77" s="11" t="s">
        <v>834</v>
      </c>
      <c r="G77" s="10" t="s">
        <v>863</v>
      </c>
      <c r="H77" s="10" t="s">
        <v>142</v>
      </c>
      <c r="I77" s="10" t="s">
        <v>864</v>
      </c>
      <c r="J77" s="12" t="n">
        <v>55660</v>
      </c>
      <c r="K77" s="12" t="n">
        <f aca="false">IF(ISNUMBER(J77),INT(J77/C77),0)</f>
        <v>55660</v>
      </c>
      <c r="L77" s="13" t="n">
        <v>0.1946</v>
      </c>
      <c r="M77" s="17" t="s">
        <v>11</v>
      </c>
      <c r="N77" s="11" t="s">
        <v>257</v>
      </c>
      <c r="O77" s="11"/>
      <c r="P77" s="11" t="s">
        <v>865</v>
      </c>
      <c r="Q77" s="10" t="s">
        <v>866</v>
      </c>
      <c r="R77" s="12" t="n">
        <v>1074</v>
      </c>
      <c r="S77" s="15" t="s">
        <v>18</v>
      </c>
      <c r="T77" s="11" t="s">
        <v>867</v>
      </c>
      <c r="U77" s="11" t="s">
        <v>868</v>
      </c>
      <c r="V77" s="10" t="s">
        <v>869</v>
      </c>
      <c r="W77" s="12" t="n">
        <v>2655</v>
      </c>
      <c r="X77" s="16" t="s">
        <v>20</v>
      </c>
      <c r="Y77" s="11" t="s">
        <v>870</v>
      </c>
      <c r="Z77" s="10" t="n">
        <f aca="false">IF(ISNUMBER(J77),IF(J77&gt;=100*C77,1,0),0)+IF(ISNUMBER(R77),IF(R77&gt;=100*C77,1,0),0)+IF(ISNUMBER(W77),IF(W77&gt;=100*C77,1,0),0)</f>
        <v>3</v>
      </c>
    </row>
    <row r="78" customFormat="false" ht="22.35" hidden="false" customHeight="false" outlineLevel="0" collapsed="false">
      <c r="A78" s="10" t="n">
        <v>74</v>
      </c>
      <c r="B78" s="11" t="s">
        <v>871</v>
      </c>
      <c r="C78" s="10" t="n">
        <v>1</v>
      </c>
      <c r="D78" s="11" t="s">
        <v>872</v>
      </c>
      <c r="E78" s="11" t="s">
        <v>873</v>
      </c>
      <c r="F78" s="11" t="s">
        <v>874</v>
      </c>
      <c r="G78" s="10" t="s">
        <v>872</v>
      </c>
      <c r="H78" s="10" t="s">
        <v>142</v>
      </c>
      <c r="I78" s="10" t="s">
        <v>875</v>
      </c>
      <c r="J78" s="12" t="n">
        <v>17531</v>
      </c>
      <c r="K78" s="12" t="n">
        <f aca="false">IF(ISNUMBER(J78),INT(J78/C78),0)</f>
        <v>17531</v>
      </c>
      <c r="L78" s="13" t="n">
        <v>0.2077</v>
      </c>
      <c r="M78" s="17" t="s">
        <v>11</v>
      </c>
      <c r="N78" s="11" t="s">
        <v>257</v>
      </c>
      <c r="O78" s="11"/>
      <c r="P78" s="11" t="s">
        <v>876</v>
      </c>
      <c r="Q78" s="10" t="s">
        <v>877</v>
      </c>
      <c r="R78" s="12" t="n">
        <v>26155</v>
      </c>
      <c r="S78" s="17" t="s">
        <v>16</v>
      </c>
      <c r="T78" s="11" t="s">
        <v>878</v>
      </c>
      <c r="U78" s="11" t="s">
        <v>879</v>
      </c>
      <c r="V78" s="10" t="s">
        <v>880</v>
      </c>
      <c r="W78" s="12" t="n">
        <v>3055</v>
      </c>
      <c r="X78" s="17" t="s">
        <v>16</v>
      </c>
      <c r="Y78" s="11" t="s">
        <v>881</v>
      </c>
      <c r="Z78" s="10" t="n">
        <f aca="false">IF(ISNUMBER(J78),IF(J78&gt;=100*C78,1,0),0)+IF(ISNUMBER(R78),IF(R78&gt;=100*C78,1,0),0)+IF(ISNUMBER(W78),IF(W78&gt;=100*C78,1,0),0)</f>
        <v>3</v>
      </c>
    </row>
    <row r="79" customFormat="false" ht="22.35" hidden="false" customHeight="false" outlineLevel="0" collapsed="false">
      <c r="A79" s="10" t="n">
        <v>76</v>
      </c>
      <c r="B79" s="11" t="s">
        <v>882</v>
      </c>
      <c r="C79" s="10" t="n">
        <v>1</v>
      </c>
      <c r="D79" s="11" t="s">
        <v>883</v>
      </c>
      <c r="E79" s="11" t="s">
        <v>884</v>
      </c>
      <c r="F79" s="11" t="s">
        <v>885</v>
      </c>
      <c r="G79" s="10" t="s">
        <v>883</v>
      </c>
      <c r="H79" s="10" t="s">
        <v>886</v>
      </c>
      <c r="I79" s="10" t="s">
        <v>887</v>
      </c>
      <c r="J79" s="12" t="n">
        <v>6670</v>
      </c>
      <c r="K79" s="12" t="n">
        <f aca="false">IF(ISNUMBER(J79),INT(J79/C79),0)</f>
        <v>6670</v>
      </c>
      <c r="L79" s="13" t="n">
        <v>0.127</v>
      </c>
      <c r="M79" s="17" t="s">
        <v>11</v>
      </c>
      <c r="N79" s="11" t="s">
        <v>257</v>
      </c>
      <c r="O79" s="11"/>
      <c r="P79" s="11" t="s">
        <v>888</v>
      </c>
      <c r="Q79" s="10" t="s">
        <v>889</v>
      </c>
      <c r="R79" s="12" t="n">
        <v>52680</v>
      </c>
      <c r="S79" s="15" t="s">
        <v>18</v>
      </c>
      <c r="T79" s="11" t="s">
        <v>890</v>
      </c>
      <c r="U79" s="11" t="s">
        <v>891</v>
      </c>
      <c r="V79" s="10" t="s">
        <v>892</v>
      </c>
      <c r="W79" s="12" t="n">
        <v>98350</v>
      </c>
      <c r="X79" s="15" t="s">
        <v>18</v>
      </c>
      <c r="Y79" s="11" t="s">
        <v>893</v>
      </c>
      <c r="Z79" s="10" t="n">
        <f aca="false">IF(ISNUMBER(J79),IF(J79&gt;=100*C79,1,0),0)+IF(ISNUMBER(R79),IF(R79&gt;=100*C79,1,0),0)+IF(ISNUMBER(W79),IF(W79&gt;=100*C79,1,0),0)</f>
        <v>3</v>
      </c>
    </row>
    <row r="80" customFormat="false" ht="22.35" hidden="false" customHeight="false" outlineLevel="0" collapsed="false">
      <c r="A80" s="10" t="n">
        <v>77</v>
      </c>
      <c r="B80" s="11" t="s">
        <v>894</v>
      </c>
      <c r="C80" s="10" t="n">
        <v>3</v>
      </c>
      <c r="D80" s="11" t="s">
        <v>895</v>
      </c>
      <c r="E80" s="11" t="s">
        <v>844</v>
      </c>
      <c r="F80" s="11" t="s">
        <v>845</v>
      </c>
      <c r="G80" s="10" t="s">
        <v>895</v>
      </c>
      <c r="H80" s="10" t="s">
        <v>142</v>
      </c>
      <c r="I80" s="10" t="s">
        <v>896</v>
      </c>
      <c r="J80" s="12" t="n">
        <v>144505</v>
      </c>
      <c r="K80" s="12" t="n">
        <f aca="false">IF(ISNUMBER(J80),INT(J80/C80),0)</f>
        <v>48168</v>
      </c>
      <c r="L80" s="13" t="n">
        <v>0.0672</v>
      </c>
      <c r="M80" s="17" t="s">
        <v>11</v>
      </c>
      <c r="N80" s="11" t="s">
        <v>257</v>
      </c>
      <c r="O80" s="11"/>
      <c r="P80" s="11" t="s">
        <v>897</v>
      </c>
      <c r="Q80" s="10" t="s">
        <v>898</v>
      </c>
      <c r="R80" s="12" t="n">
        <v>35930</v>
      </c>
      <c r="S80" s="17" t="s">
        <v>16</v>
      </c>
      <c r="T80" s="11" t="s">
        <v>899</v>
      </c>
      <c r="U80" s="11" t="s">
        <v>900</v>
      </c>
      <c r="V80" s="10" t="s">
        <v>901</v>
      </c>
      <c r="W80" s="12" t="n">
        <v>2635</v>
      </c>
      <c r="X80" s="17" t="s">
        <v>16</v>
      </c>
      <c r="Y80" s="11" t="s">
        <v>902</v>
      </c>
      <c r="Z80" s="10" t="n">
        <f aca="false">IF(ISNUMBER(J80),IF(J80&gt;=100*C80,1,0),0)+IF(ISNUMBER(R80),IF(R80&gt;=100*C80,1,0),0)+IF(ISNUMBER(W80),IF(W80&gt;=100*C80,1,0),0)</f>
        <v>3</v>
      </c>
    </row>
    <row r="81" customFormat="false" ht="22.35" hidden="false" customHeight="false" outlineLevel="0" collapsed="false">
      <c r="A81" s="10" t="n">
        <v>78</v>
      </c>
      <c r="B81" s="11" t="s">
        <v>903</v>
      </c>
      <c r="C81" s="10" t="n">
        <v>2</v>
      </c>
      <c r="D81" s="11" t="s">
        <v>904</v>
      </c>
      <c r="E81" s="11" t="s">
        <v>189</v>
      </c>
      <c r="F81" s="11" t="s">
        <v>190</v>
      </c>
      <c r="G81" s="10" t="s">
        <v>904</v>
      </c>
      <c r="H81" s="10" t="s">
        <v>142</v>
      </c>
      <c r="I81" s="10" t="s">
        <v>905</v>
      </c>
      <c r="J81" s="12" t="n">
        <v>121415</v>
      </c>
      <c r="K81" s="12" t="n">
        <f aca="false">IF(ISNUMBER(J81),INT(J81/C81),0)</f>
        <v>60707</v>
      </c>
      <c r="L81" s="13" t="n">
        <v>0.0449</v>
      </c>
      <c r="M81" s="17" t="s">
        <v>11</v>
      </c>
      <c r="N81" s="11" t="s">
        <v>257</v>
      </c>
      <c r="O81" s="11"/>
      <c r="P81" s="11" t="s">
        <v>906</v>
      </c>
      <c r="Q81" s="10" t="s">
        <v>907</v>
      </c>
      <c r="R81" s="12" t="n">
        <v>12440</v>
      </c>
      <c r="S81" s="17" t="s">
        <v>16</v>
      </c>
      <c r="T81" s="11" t="s">
        <v>908</v>
      </c>
      <c r="U81" s="11" t="s">
        <v>909</v>
      </c>
      <c r="V81" s="10" t="s">
        <v>910</v>
      </c>
      <c r="W81" s="12" t="n">
        <v>4385</v>
      </c>
      <c r="X81" s="17" t="s">
        <v>16</v>
      </c>
      <c r="Y81" s="11" t="s">
        <v>911</v>
      </c>
      <c r="Z81" s="10" t="n">
        <f aca="false">IF(ISNUMBER(J81),IF(J81&gt;=100*C81,1,0),0)+IF(ISNUMBER(R81),IF(R81&gt;=100*C81,1,0),0)+IF(ISNUMBER(W81),IF(W81&gt;=100*C81,1,0),0)</f>
        <v>3</v>
      </c>
    </row>
    <row r="82" customFormat="false" ht="22.35" hidden="false" customHeight="false" outlineLevel="0" collapsed="false">
      <c r="A82" s="10" t="n">
        <v>79</v>
      </c>
      <c r="B82" s="11" t="s">
        <v>912</v>
      </c>
      <c r="C82" s="10" t="n">
        <v>1</v>
      </c>
      <c r="D82" s="11" t="s">
        <v>913</v>
      </c>
      <c r="E82" s="11" t="s">
        <v>873</v>
      </c>
      <c r="F82" s="11" t="s">
        <v>874</v>
      </c>
      <c r="G82" s="10" t="s">
        <v>913</v>
      </c>
      <c r="H82" s="10" t="s">
        <v>191</v>
      </c>
      <c r="I82" s="10" t="s">
        <v>914</v>
      </c>
      <c r="J82" s="12" t="n">
        <v>22345</v>
      </c>
      <c r="K82" s="12" t="n">
        <f aca="false">IF(ISNUMBER(J82),INT(J82/C82),0)</f>
        <v>22345</v>
      </c>
      <c r="L82" s="13" t="n">
        <v>0.1922</v>
      </c>
      <c r="M82" s="17" t="s">
        <v>11</v>
      </c>
      <c r="N82" s="11" t="s">
        <v>257</v>
      </c>
      <c r="O82" s="11"/>
      <c r="P82" s="11" t="s">
        <v>915</v>
      </c>
      <c r="Q82" s="10" t="s">
        <v>916</v>
      </c>
      <c r="R82" s="12" t="n">
        <v>72335</v>
      </c>
      <c r="S82" s="15" t="s">
        <v>18</v>
      </c>
      <c r="T82" s="11" t="s">
        <v>917</v>
      </c>
      <c r="U82" s="11" t="s">
        <v>918</v>
      </c>
      <c r="V82" s="10" t="s">
        <v>919</v>
      </c>
      <c r="W82" s="12" t="n">
        <v>1296</v>
      </c>
      <c r="X82" s="15" t="s">
        <v>18</v>
      </c>
      <c r="Y82" s="11" t="s">
        <v>920</v>
      </c>
      <c r="Z82" s="10" t="n">
        <f aca="false">IF(ISNUMBER(J82),IF(J82&gt;=100*C82,1,0),0)+IF(ISNUMBER(R82),IF(R82&gt;=100*C82,1,0),0)+IF(ISNUMBER(W82),IF(W82&gt;=100*C82,1,0),0)</f>
        <v>3</v>
      </c>
    </row>
    <row r="83" customFormat="false" ht="22.35" hidden="false" customHeight="false" outlineLevel="0" collapsed="false">
      <c r="A83" s="10" t="n">
        <v>80</v>
      </c>
      <c r="B83" s="11" t="s">
        <v>921</v>
      </c>
      <c r="C83" s="10" t="n">
        <v>1</v>
      </c>
      <c r="D83" s="11" t="s">
        <v>922</v>
      </c>
      <c r="E83" s="11" t="s">
        <v>923</v>
      </c>
      <c r="F83" s="11" t="s">
        <v>924</v>
      </c>
      <c r="G83" s="10" t="s">
        <v>922</v>
      </c>
      <c r="H83" s="10" t="s">
        <v>925</v>
      </c>
      <c r="I83" s="10" t="s">
        <v>926</v>
      </c>
      <c r="J83" s="12" t="n">
        <v>452440</v>
      </c>
      <c r="K83" s="12" t="n">
        <f aca="false">IF(ISNUMBER(J83),INT(J83/C83),0)</f>
        <v>452440</v>
      </c>
      <c r="L83" s="13" t="n">
        <v>0.0313</v>
      </c>
      <c r="M83" s="17" t="s">
        <v>11</v>
      </c>
      <c r="N83" s="11" t="s">
        <v>257</v>
      </c>
      <c r="O83" s="11"/>
      <c r="P83" s="11" t="s">
        <v>927</v>
      </c>
      <c r="Q83" s="10" t="s">
        <v>928</v>
      </c>
      <c r="R83" s="12" t="n">
        <v>40510</v>
      </c>
      <c r="S83" s="15" t="s">
        <v>18</v>
      </c>
      <c r="T83" s="11" t="s">
        <v>929</v>
      </c>
      <c r="U83" s="11" t="s">
        <v>930</v>
      </c>
      <c r="V83" s="10" t="s">
        <v>931</v>
      </c>
      <c r="W83" s="12" t="n">
        <v>7680</v>
      </c>
      <c r="X83" s="15" t="s">
        <v>18</v>
      </c>
      <c r="Y83" s="11" t="s">
        <v>932</v>
      </c>
      <c r="Z83" s="10" t="n">
        <f aca="false">IF(ISNUMBER(J83),IF(J83&gt;=100*C83,1,0),0)+IF(ISNUMBER(R83),IF(R83&gt;=100*C83,1,0),0)+IF(ISNUMBER(W83),IF(W83&gt;=100*C83,1,0),0)</f>
        <v>3</v>
      </c>
    </row>
    <row r="84" customFormat="false" ht="22.35" hidden="false" customHeight="false" outlineLevel="0" collapsed="false">
      <c r="A84" s="10" t="n">
        <v>81</v>
      </c>
      <c r="B84" s="11" t="s">
        <v>933</v>
      </c>
      <c r="C84" s="10" t="n">
        <v>1</v>
      </c>
      <c r="D84" s="11" t="s">
        <v>934</v>
      </c>
      <c r="E84" s="11" t="s">
        <v>935</v>
      </c>
      <c r="F84" s="11" t="s">
        <v>936</v>
      </c>
      <c r="G84" s="10" t="s">
        <v>934</v>
      </c>
      <c r="H84" s="10" t="s">
        <v>937</v>
      </c>
      <c r="I84" s="10" t="s">
        <v>938</v>
      </c>
      <c r="J84" s="12" t="n">
        <v>84200</v>
      </c>
      <c r="K84" s="12" t="n">
        <f aca="false">IF(ISNUMBER(J84),INT(J84/C84),0)</f>
        <v>84200</v>
      </c>
      <c r="L84" s="13" t="n">
        <v>0.0485</v>
      </c>
      <c r="M84" s="17" t="s">
        <v>11</v>
      </c>
      <c r="N84" s="11" t="s">
        <v>257</v>
      </c>
      <c r="O84" s="11"/>
      <c r="P84" s="11" t="s">
        <v>939</v>
      </c>
      <c r="Q84" s="10" t="s">
        <v>940</v>
      </c>
      <c r="R84" s="12" t="n">
        <v>35535</v>
      </c>
      <c r="S84" s="15" t="s">
        <v>18</v>
      </c>
      <c r="T84" s="11" t="s">
        <v>941</v>
      </c>
      <c r="U84" s="11" t="s">
        <v>942</v>
      </c>
      <c r="V84" s="10" t="s">
        <v>943</v>
      </c>
      <c r="W84" s="12" t="n">
        <v>10405</v>
      </c>
      <c r="X84" s="15" t="s">
        <v>18</v>
      </c>
      <c r="Y84" s="11" t="s">
        <v>944</v>
      </c>
      <c r="Z84" s="10" t="n">
        <f aca="false">IF(ISNUMBER(J84),IF(J84&gt;=100*C84,1,0),0)+IF(ISNUMBER(R84),IF(R84&gt;=100*C84,1,0),0)+IF(ISNUMBER(W84),IF(W84&gt;=100*C84,1,0),0)</f>
        <v>3</v>
      </c>
    </row>
    <row r="85" customFormat="false" ht="32.8" hidden="false" customHeight="false" outlineLevel="0" collapsed="false">
      <c r="A85" s="10" t="n">
        <v>83</v>
      </c>
      <c r="B85" s="11" t="s">
        <v>945</v>
      </c>
      <c r="C85" s="10" t="n">
        <v>2</v>
      </c>
      <c r="D85" s="11" t="s">
        <v>946</v>
      </c>
      <c r="E85" s="11" t="s">
        <v>947</v>
      </c>
      <c r="F85" s="11" t="s">
        <v>948</v>
      </c>
      <c r="G85" s="10" t="s">
        <v>949</v>
      </c>
      <c r="H85" s="10" t="s">
        <v>950</v>
      </c>
      <c r="I85" s="10" t="s">
        <v>951</v>
      </c>
      <c r="J85" s="12" t="n">
        <v>30830</v>
      </c>
      <c r="K85" s="12" t="n">
        <f aca="false">IF(ISNUMBER(J85),INT(J85/C85),0)</f>
        <v>15415</v>
      </c>
      <c r="L85" s="13" t="n">
        <v>0.0246</v>
      </c>
      <c r="M85" s="17" t="s">
        <v>11</v>
      </c>
      <c r="N85" s="11" t="s">
        <v>257</v>
      </c>
      <c r="O85" s="11"/>
      <c r="P85" s="11" t="s">
        <v>952</v>
      </c>
      <c r="Q85" s="10" t="s">
        <v>953</v>
      </c>
      <c r="R85" s="12" t="n">
        <v>1720</v>
      </c>
      <c r="S85" s="15" t="s">
        <v>18</v>
      </c>
      <c r="T85" s="11" t="s">
        <v>954</v>
      </c>
      <c r="U85" s="11"/>
      <c r="V85" s="10"/>
      <c r="W85" s="12"/>
      <c r="X85" s="18"/>
      <c r="Y85" s="11" t="s">
        <v>955</v>
      </c>
      <c r="Z85" s="10" t="n">
        <f aca="false">IF(ISNUMBER(J85),IF(J85&gt;=100*C85,1,0),0)+IF(ISNUMBER(R85),IF(R85&gt;=100*C85,1,0),0)+IF(ISNUMBER(W85),IF(W85&gt;=100*C85,1,0),0)</f>
        <v>2</v>
      </c>
    </row>
    <row r="86" customFormat="false" ht="22.35" hidden="false" customHeight="false" outlineLevel="0" collapsed="false">
      <c r="A86" s="10" t="n">
        <v>84</v>
      </c>
      <c r="B86" s="11" t="s">
        <v>956</v>
      </c>
      <c r="C86" s="10" t="n">
        <v>2</v>
      </c>
      <c r="D86" s="11" t="s">
        <v>957</v>
      </c>
      <c r="E86" s="11" t="s">
        <v>958</v>
      </c>
      <c r="F86" s="11" t="s">
        <v>959</v>
      </c>
      <c r="G86" s="10" t="s">
        <v>960</v>
      </c>
      <c r="H86" s="10" t="s">
        <v>961</v>
      </c>
      <c r="I86" s="10" t="s">
        <v>962</v>
      </c>
      <c r="J86" s="12" t="n">
        <v>5250</v>
      </c>
      <c r="K86" s="12" t="n">
        <f aca="false">IF(ISNUMBER(J86),INT(J86/C86),0)</f>
        <v>2625</v>
      </c>
      <c r="L86" s="13"/>
      <c r="M86" s="17" t="s">
        <v>11</v>
      </c>
      <c r="N86" s="11" t="s">
        <v>257</v>
      </c>
      <c r="O86" s="11"/>
      <c r="P86" s="11" t="s">
        <v>963</v>
      </c>
      <c r="Q86" s="10" t="s">
        <v>964</v>
      </c>
      <c r="R86" s="12" t="n">
        <v>2050</v>
      </c>
      <c r="S86" s="15" t="s">
        <v>18</v>
      </c>
      <c r="T86" s="11" t="s">
        <v>965</v>
      </c>
      <c r="U86" s="11" t="s">
        <v>966</v>
      </c>
      <c r="V86" s="10" t="s">
        <v>967</v>
      </c>
      <c r="W86" s="12" t="n">
        <v>4080</v>
      </c>
      <c r="X86" s="15" t="s">
        <v>18</v>
      </c>
      <c r="Y86" s="11" t="s">
        <v>968</v>
      </c>
      <c r="Z86" s="10" t="n">
        <f aca="false">IF(ISNUMBER(J86),IF(J86&gt;=100*C86,1,0),0)+IF(ISNUMBER(R86),IF(R86&gt;=100*C86,1,0),0)+IF(ISNUMBER(W86),IF(W86&gt;=100*C86,1,0),0)</f>
        <v>3</v>
      </c>
    </row>
    <row r="87" customFormat="false" ht="22.35" hidden="false" customHeight="false" outlineLevel="0" collapsed="false">
      <c r="A87" s="10" t="n">
        <v>85</v>
      </c>
      <c r="B87" s="11" t="s">
        <v>969</v>
      </c>
      <c r="C87" s="10" t="n">
        <v>1</v>
      </c>
      <c r="D87" s="11" t="s">
        <v>970</v>
      </c>
      <c r="E87" s="11" t="s">
        <v>971</v>
      </c>
      <c r="F87" s="11" t="s">
        <v>959</v>
      </c>
      <c r="G87" s="10" t="s">
        <v>972</v>
      </c>
      <c r="H87" s="10" t="s">
        <v>961</v>
      </c>
      <c r="I87" s="10" t="s">
        <v>973</v>
      </c>
      <c r="J87" s="12" t="n">
        <v>3800</v>
      </c>
      <c r="K87" s="12" t="n">
        <f aca="false">IF(ISNUMBER(J87),INT(J87/C87),0)</f>
        <v>3800</v>
      </c>
      <c r="L87" s="13"/>
      <c r="M87" s="17" t="s">
        <v>11</v>
      </c>
      <c r="N87" s="11" t="s">
        <v>257</v>
      </c>
      <c r="O87" s="11"/>
      <c r="P87" s="11" t="s">
        <v>974</v>
      </c>
      <c r="Q87" s="10" t="s">
        <v>975</v>
      </c>
      <c r="R87" s="12" t="n">
        <v>1180</v>
      </c>
      <c r="S87" s="15" t="s">
        <v>18</v>
      </c>
      <c r="T87" s="11" t="s">
        <v>976</v>
      </c>
      <c r="U87" s="11" t="s">
        <v>977</v>
      </c>
      <c r="V87" s="10" t="s">
        <v>978</v>
      </c>
      <c r="W87" s="12" t="n">
        <v>1580</v>
      </c>
      <c r="X87" s="15" t="s">
        <v>18</v>
      </c>
      <c r="Y87" s="11" t="s">
        <v>979</v>
      </c>
      <c r="Z87" s="10" t="n">
        <f aca="false">IF(ISNUMBER(J87),IF(J87&gt;=100*C87,1,0),0)+IF(ISNUMBER(R87),IF(R87&gt;=100*C87,1,0),0)+IF(ISNUMBER(W87),IF(W87&gt;=100*C87,1,0),0)</f>
        <v>3</v>
      </c>
    </row>
    <row r="88" customFormat="false" ht="22.35" hidden="false" customHeight="false" outlineLevel="0" collapsed="false">
      <c r="A88" s="10" t="n">
        <v>86</v>
      </c>
      <c r="B88" s="11" t="s">
        <v>980</v>
      </c>
      <c r="C88" s="10" t="n">
        <v>1</v>
      </c>
      <c r="D88" s="11" t="s">
        <v>981</v>
      </c>
      <c r="E88" s="11" t="s">
        <v>982</v>
      </c>
      <c r="F88" s="11" t="s">
        <v>959</v>
      </c>
      <c r="G88" s="10" t="s">
        <v>983</v>
      </c>
      <c r="H88" s="10" t="s">
        <v>961</v>
      </c>
      <c r="I88" s="10" t="s">
        <v>984</v>
      </c>
      <c r="J88" s="12" t="n">
        <v>1280</v>
      </c>
      <c r="K88" s="12" t="n">
        <f aca="false">IF(ISNUMBER(J88),INT(J88/C88),0)</f>
        <v>1280</v>
      </c>
      <c r="L88" s="13"/>
      <c r="M88" s="17" t="s">
        <v>11</v>
      </c>
      <c r="N88" s="11" t="s">
        <v>257</v>
      </c>
      <c r="O88" s="11"/>
      <c r="P88" s="11" t="s">
        <v>985</v>
      </c>
      <c r="Q88" s="10" t="s">
        <v>986</v>
      </c>
      <c r="R88" s="12" t="n">
        <v>1000</v>
      </c>
      <c r="S88" s="15" t="s">
        <v>18</v>
      </c>
      <c r="T88" s="11" t="s">
        <v>987</v>
      </c>
      <c r="U88" s="11" t="s">
        <v>988</v>
      </c>
      <c r="V88" s="10" t="s">
        <v>989</v>
      </c>
      <c r="W88" s="12" t="n">
        <v>1980</v>
      </c>
      <c r="X88" s="15" t="s">
        <v>18</v>
      </c>
      <c r="Y88" s="11" t="s">
        <v>990</v>
      </c>
      <c r="Z88" s="10" t="n">
        <f aca="false">IF(ISNUMBER(J88),IF(J88&gt;=100*C88,1,0),0)+IF(ISNUMBER(R88),IF(R88&gt;=100*C88,1,0),0)+IF(ISNUMBER(W88),IF(W88&gt;=100*C88,1,0),0)</f>
        <v>3</v>
      </c>
    </row>
  </sheetData>
  <autoFilter ref="A1:Z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3" t="s">
        <v>991</v>
      </c>
      <c r="B1" s="3" t="s">
        <v>992</v>
      </c>
      <c r="C1" s="3" t="s">
        <v>993</v>
      </c>
    </row>
    <row r="2" customFormat="false" ht="15" hidden="false" customHeight="false" outlineLevel="0" collapsed="false">
      <c r="A2" s="2" t="s">
        <v>994</v>
      </c>
      <c r="B2" s="2" t="s">
        <v>995</v>
      </c>
      <c r="C2" s="2" t="s">
        <v>996</v>
      </c>
    </row>
    <row r="3" customFormat="false" ht="15" hidden="false" customHeight="false" outlineLevel="0" collapsed="false">
      <c r="A3" s="2" t="s">
        <v>997</v>
      </c>
      <c r="B3" s="2" t="s">
        <v>998</v>
      </c>
      <c r="C3" s="2" t="s">
        <v>999</v>
      </c>
    </row>
    <row r="4" customFormat="false" ht="15" hidden="false" customHeight="false" outlineLevel="0" collapsed="false">
      <c r="A4" s="2" t="s">
        <v>1000</v>
      </c>
      <c r="B4" s="2" t="s">
        <v>1001</v>
      </c>
      <c r="C4" s="2" t="s">
        <v>1002</v>
      </c>
    </row>
    <row r="5" customFormat="false" ht="23.85" hidden="false" customHeight="false" outlineLevel="0" collapsed="false">
      <c r="A5" s="2" t="s">
        <v>1003</v>
      </c>
      <c r="B5" s="2" t="s">
        <v>1004</v>
      </c>
      <c r="C5" s="2" t="s">
        <v>1005</v>
      </c>
    </row>
    <row r="6" customFormat="false" ht="15" hidden="false" customHeight="false" outlineLevel="0" collapsed="false">
      <c r="A6" s="2" t="s">
        <v>820</v>
      </c>
      <c r="B6" s="2" t="s">
        <v>1006</v>
      </c>
      <c r="C6" s="2" t="s">
        <v>1007</v>
      </c>
    </row>
    <row r="7" customFormat="false" ht="23.85" hidden="false" customHeight="false" outlineLevel="0" collapsed="false">
      <c r="A7" s="2" t="s">
        <v>1008</v>
      </c>
      <c r="B7" s="2" t="s">
        <v>1009</v>
      </c>
      <c r="C7" s="2" t="s">
        <v>1010</v>
      </c>
    </row>
    <row r="8" customFormat="false" ht="23.85" hidden="false" customHeight="false" outlineLevel="0" collapsed="false">
      <c r="A8" s="2" t="s">
        <v>71</v>
      </c>
      <c r="B8" s="2" t="s">
        <v>1011</v>
      </c>
      <c r="C8" s="2" t="s">
        <v>1012</v>
      </c>
    </row>
    <row r="9" customFormat="false" ht="23.85" hidden="false" customHeight="false" outlineLevel="0" collapsed="false">
      <c r="A9" s="2" t="s">
        <v>1013</v>
      </c>
      <c r="B9" s="2" t="s">
        <v>1014</v>
      </c>
      <c r="C9" s="2" t="s">
        <v>1015</v>
      </c>
    </row>
    <row r="10" customFormat="false" ht="15" hidden="false" customHeight="false" outlineLevel="0" collapsed="false">
      <c r="A10" s="2" t="s">
        <v>786</v>
      </c>
      <c r="B10" s="2" t="s">
        <v>1016</v>
      </c>
      <c r="C10" s="2" t="s">
        <v>1017</v>
      </c>
    </row>
    <row r="11" customFormat="false" ht="15" hidden="false" customHeight="false" outlineLevel="0" collapsed="false">
      <c r="A11" s="2" t="s">
        <v>806</v>
      </c>
      <c r="B11" s="2" t="s">
        <v>1018</v>
      </c>
      <c r="C11" s="2" t="s">
        <v>1019</v>
      </c>
    </row>
    <row r="12" customFormat="false" ht="15" hidden="false" customHeight="false" outlineLevel="0" collapsed="false">
      <c r="A12" s="2" t="s">
        <v>1020</v>
      </c>
      <c r="B12" s="2" t="s">
        <v>1021</v>
      </c>
      <c r="C12" s="2" t="s">
        <v>1022</v>
      </c>
    </row>
    <row r="13" customFormat="false" ht="15" hidden="false" customHeight="false" outlineLevel="0" collapsed="false">
      <c r="A13" s="2" t="s">
        <v>1023</v>
      </c>
      <c r="B13" s="2" t="s">
        <v>1024</v>
      </c>
      <c r="C13" s="2" t="s">
        <v>1025</v>
      </c>
    </row>
    <row r="14" customFormat="false" ht="15" hidden="false" customHeight="false" outlineLevel="0" collapsed="false">
      <c r="A14" s="2" t="s">
        <v>1026</v>
      </c>
      <c r="B14" s="2" t="s">
        <v>1027</v>
      </c>
      <c r="C14" s="2" t="s">
        <v>1028</v>
      </c>
    </row>
    <row r="15" customFormat="false" ht="15" hidden="false" customHeight="false" outlineLevel="0" collapsed="false">
      <c r="A15" s="2" t="s">
        <v>209</v>
      </c>
      <c r="B15" s="2" t="s">
        <v>1029</v>
      </c>
      <c r="C15" s="2" t="s">
        <v>1030</v>
      </c>
    </row>
    <row r="16" customFormat="false" ht="15" hidden="false" customHeight="false" outlineLevel="0" collapsed="false">
      <c r="A16" s="2" t="s">
        <v>74</v>
      </c>
      <c r="B16" s="2" t="s">
        <v>1031</v>
      </c>
      <c r="C16" s="2" t="s">
        <v>1032</v>
      </c>
    </row>
    <row r="17" customFormat="false" ht="15" hidden="false" customHeight="false" outlineLevel="0" collapsed="false">
      <c r="A17" s="2" t="s">
        <v>408</v>
      </c>
      <c r="B17" s="2" t="s">
        <v>1033</v>
      </c>
      <c r="C17" s="2" t="s">
        <v>1034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40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3" t="s">
        <v>1035</v>
      </c>
      <c r="B1" s="3" t="s">
        <v>1036</v>
      </c>
      <c r="C1" s="3" t="s">
        <v>1037</v>
      </c>
      <c r="D1" s="3" t="s">
        <v>1038</v>
      </c>
      <c r="E1" s="3" t="s">
        <v>1039</v>
      </c>
      <c r="F1" s="3" t="s">
        <v>1040</v>
      </c>
    </row>
    <row r="2" customFormat="false" ht="35.05" hidden="false" customHeight="false" outlineLevel="0" collapsed="false">
      <c r="A2" s="2" t="s">
        <v>1041</v>
      </c>
      <c r="B2" s="2" t="s">
        <v>1042</v>
      </c>
      <c r="C2" s="2" t="s">
        <v>1043</v>
      </c>
      <c r="D2" s="2" t="s">
        <v>1044</v>
      </c>
      <c r="E2" s="2" t="s">
        <v>1045</v>
      </c>
      <c r="F2" s="2" t="s">
        <v>1046</v>
      </c>
    </row>
    <row r="3" customFormat="false" ht="35.05" hidden="false" customHeight="false" outlineLevel="0" collapsed="false">
      <c r="A3" s="2" t="s">
        <v>1047</v>
      </c>
      <c r="B3" s="2" t="s">
        <v>1048</v>
      </c>
      <c r="C3" s="2" t="s">
        <v>1049</v>
      </c>
      <c r="D3" s="2" t="s">
        <v>1050</v>
      </c>
      <c r="E3" s="2" t="s">
        <v>1051</v>
      </c>
      <c r="F3" s="2" t="s">
        <v>1052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2026-10-20T06:08:13Z</dcterms:created>
  <dc:creator>openpyxl</dc:creator>
  <dc:description/>
  <dc:language>en-US</dc:language>
  <cp:lastModifiedBy/>
  <dcterms:modified xsi:type="dcterms:W3CDTF">2026-10-20T06:08:13Z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