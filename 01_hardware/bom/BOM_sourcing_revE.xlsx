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ing" sheetId="2" state="visible" r:id="rId2"/>
    <sheet xmlns:r="http://schemas.openxmlformats.org/officeDocument/2006/relationships" name="Spec check findings" sheetId="3" state="visible" r:id="rId3"/>
    <sheet xmlns:r="http://schemas.openxmlformats.org/officeDocument/2006/relationships" name="PCB reserve" sheetId="4" state="visible" r:id="rId4"/>
  </sheets>
  <definedNames>
    <definedName name="_xlnm._FilterDatabase" localSheetId="1" hidden="1">'Sourcing'!$A$1:$Z$90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F9D7A8"/>
      </patternFill>
    </fill>
    <fill>
      <patternFill patternType="solid">
        <fgColor rgb="00E8F3E3"/>
      </patternFill>
    </fill>
    <fill>
      <patternFill patternType="solid">
        <fgColor rgb="00FFF2B3"/>
      </patternFill>
    </fill>
    <fill>
      <patternFill patternType="solid">
        <fgColor rgb="00D9EFD3"/>
      </patternFill>
    </fill>
    <fill>
      <patternFill patternType="solid">
        <fgColor rgb="00FFFFFF"/>
      </patternFill>
    </fill>
    <fill>
      <patternFill patternType="solid">
        <fgColor rgb="002F4F6F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3" fillId="7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3" fontId="1" fillId="0" borderId="1" applyAlignment="1" pivotButton="0" quotePrefix="0" xfId="0">
      <alignment vertical="top"/>
    </xf>
    <xf numFmtId="164" fontId="1" fillId="0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0" customWidth="1" min="3" max="3"/>
  </cols>
  <sheetData>
    <row r="1">
      <c r="A1" s="1" t="inlineStr">
        <is>
          <t>DCDC_LLC_4SBB_G474 Rev E - shortage risk, 2nd / 3rd sources (spec + footprint checked)</t>
        </is>
      </c>
      <c r="B1" s="2" t="n"/>
      <c r="C1" s="2" t="n"/>
    </row>
    <row r="2">
      <c r="A2" s="2" t="inlineStr">
        <is>
          <t>LCSC stock read live from lcsc.com on 2026-10-20. Stock moves daily - re-check at order time. JLC basic parts may be in JLC's own SMT stock when LCSC retail shows 0.</t>
        </is>
      </c>
      <c r="B2" s="2" t="n"/>
      <c r="C2" s="2" t="n"/>
    </row>
    <row r="3">
      <c r="A3" s="2" t="n"/>
      <c r="B3" s="2" t="n"/>
      <c r="C3" s="2" t="n"/>
    </row>
    <row r="4">
      <c r="A4" s="3" t="inlineStr">
        <is>
          <t>Risk</t>
        </is>
      </c>
      <c r="B4" s="3" t="inlineStr">
        <is>
          <t>Lines</t>
        </is>
      </c>
      <c r="C4" s="3" t="inlineStr">
        <is>
          <t>Rule</t>
        </is>
      </c>
    </row>
    <row r="5">
      <c r="A5" s="4" t="inlineStr">
        <is>
          <t>CRITICAL</t>
        </is>
      </c>
      <c r="B5" s="2">
        <f>COUNTIF(Sourcing!M:M,"CRITICAL")</f>
        <v/>
      </c>
      <c r="C5" s="2" t="inlineStr">
        <is>
          <t>Out of stock / not listed / &lt; 50 boards, or a BOM error - change before ordering (same footprint)</t>
        </is>
      </c>
    </row>
    <row r="6">
      <c r="A6" s="5" t="inlineStr">
        <is>
          <t>HIGH</t>
        </is>
      </c>
      <c r="B6" s="2">
        <f>COUNTIF(Sourcing!M:M,"HIGH")</f>
        <v/>
      </c>
      <c r="C6" s="2" t="inlineStr">
        <is>
          <t>Covers &lt; 100-300 boards, single maker, or discontinued - buy now</t>
        </is>
      </c>
    </row>
    <row r="7">
      <c r="A7" s="6" t="inlineStr">
        <is>
          <t>MEDIUM</t>
        </is>
      </c>
      <c r="B7" s="2">
        <f>COUNTIF(Sourcing!M:M,"MEDIUM")</f>
        <v/>
      </c>
      <c r="C7" s="2" t="inlineStr">
        <is>
          <t>Covers &lt; 1,000 boards or alternates thin</t>
        </is>
      </c>
    </row>
    <row r="8">
      <c r="A8" s="7" t="inlineStr">
        <is>
          <t>LOW</t>
        </is>
      </c>
      <c r="B8" s="2">
        <f>COUNTIF(Sourcing!M:M,"LOW")</f>
        <v/>
      </c>
      <c r="C8" s="2" t="inlineStr">
        <is>
          <t>Plenty of stock and two checked alternates</t>
        </is>
      </c>
    </row>
    <row r="9">
      <c r="A9" s="2" t="n"/>
      <c r="B9" s="2" t="n"/>
      <c r="C9" s="2" t="n"/>
    </row>
    <row r="10">
      <c r="A10" s="3" t="inlineStr">
        <is>
          <t>Check</t>
        </is>
      </c>
      <c r="B10" s="3" t="inlineStr">
        <is>
          <t>Alternates</t>
        </is>
      </c>
      <c r="C10" s="3" t="inlineStr">
        <is>
          <t>Meaning</t>
        </is>
      </c>
    </row>
    <row r="11">
      <c r="A11" s="7" t="inlineStr">
        <is>
          <t>DS</t>
        </is>
      </c>
      <c r="B11" s="2">
        <f>COUNTIF(Sourcing!S:S,"DS")+COUNTIF(Sourcing!X:X,"DS")</f>
        <v/>
      </c>
      <c r="C11" s="2" t="inlineStr">
        <is>
          <t>Checked against the datasheet: pinout vs board netlist, land pattern vs footprint, ratings</t>
        </is>
      </c>
    </row>
    <row r="12">
      <c r="A12" s="8" t="inlineStr">
        <is>
          <t>EQ</t>
        </is>
      </c>
      <c r="B12" s="2">
        <f>COUNTIF(Sourcing!S:S,"EQ")+COUNTIF(Sourcing!X:X,"EQ")</f>
        <v/>
      </c>
      <c r="C12" s="2" t="inlineStr">
        <is>
          <t>Same part number from another maker, or passive with same value / package / dielectric and equal-or-better rating</t>
        </is>
      </c>
    </row>
    <row r="13">
      <c r="A13" s="6" t="inlineStr">
        <is>
          <t>CHK</t>
        </is>
      </c>
      <c r="B13" s="2">
        <f>COUNTIF(Sourcing!S:S,"CHK")+COUNTIF(Sourcing!X:X,"CHK")</f>
        <v/>
      </c>
      <c r="C13" s="2" t="inlineStr">
        <is>
          <t>Usable; one item to confirm (see note)</t>
        </is>
      </c>
    </row>
    <row r="14">
      <c r="A14" s="5" t="inlineStr">
        <is>
          <t>PCB</t>
        </is>
      </c>
      <c r="B14" s="2">
        <f>COUNTIF(Sourcing!S:S,"PCB")+COUNTIF(Sourcing!X:X,"PCB")</f>
        <v/>
      </c>
      <c r="C14" s="2" t="inlineStr">
        <is>
          <t>Needs a PCB change - see 'PCB reserve'</t>
        </is>
      </c>
    </row>
    <row r="15">
      <c r="A15" s="2" t="n"/>
      <c r="B15" s="2" t="n"/>
      <c r="C15" s="2" t="n"/>
    </row>
    <row r="16">
      <c r="A16" s="3" t="inlineStr">
        <is>
          <t>Packages</t>
        </is>
      </c>
      <c r="B16" s="3" t="inlineStr"/>
      <c r="C16" s="3" t="inlineStr">
        <is>
          <t>All lines use industry-standard packages except: T2 (Pulse EP13Plus, vendor-specific) and T1 (custom PQ2620, hand-fitted). L1 1770 / L2-L3 5040 / SW1 2.54 SMD DIP / J1-J2 5.08 pluggable are de-facto standards made by many vendors.</t>
        </is>
      </c>
    </row>
    <row r="17">
      <c r="A17" s="2" t="n"/>
      <c r="B17" s="2" t="n"/>
      <c r="C17" s="2" t="n"/>
    </row>
    <row r="18">
      <c r="A18" s="3" t="inlineStr">
        <is>
          <t>First source changed on the Rev E BOM today (all in stock, same footprints):</t>
        </is>
      </c>
      <c r="B18" s="3" t="n"/>
      <c r="C18" s="3" t="n"/>
    </row>
    <row r="19">
      <c r="A19" s="2" t="inlineStr">
        <is>
          <t>C1235414</t>
        </is>
      </c>
      <c r="B19" s="2" t="inlineStr">
        <is>
          <t>STM32G474RBT3 (ST)</t>
        </is>
      </c>
      <c r="C19" s="2" t="inlineStr">
        <is>
          <t>replaces C529413 STM32G474RBT6  -  not listed / out of stock</t>
        </is>
      </c>
    </row>
    <row r="20">
      <c r="A20" s="2" t="inlineStr">
        <is>
          <t>C503061</t>
        </is>
      </c>
      <c r="B20" s="2" t="inlineStr">
        <is>
          <t>NCEP068N10G (NCE)</t>
        </is>
      </c>
      <c r="C20" s="2" t="inlineStr">
        <is>
          <t>replaces C503012 NCEP0160AG</t>
        </is>
      </c>
    </row>
    <row r="21">
      <c r="A21" s="2" t="inlineStr">
        <is>
          <t>C2906861</t>
        </is>
      </c>
      <c r="B21" s="2" t="inlineStr">
        <is>
          <t>FRC0402F1002TS (FOJAN)</t>
        </is>
      </c>
      <c r="C21" s="2" t="inlineStr">
        <is>
          <t>replaces C25744 0402WGF1002TCE  -  not listed / out of stock</t>
        </is>
      </c>
    </row>
    <row r="22">
      <c r="A22" s="2" t="inlineStr">
        <is>
          <t>C20539426</t>
        </is>
      </c>
      <c r="B22" s="2" t="inlineStr">
        <is>
          <t>TCC0402X5R105K500AT (CCTC)</t>
        </is>
      </c>
      <c r="C22" s="2" t="inlineStr">
        <is>
          <t>replaces C52923 CL05A105KA5NQNC  -  not listed / out of stock</t>
        </is>
      </c>
    </row>
    <row r="23">
      <c r="A23" s="2" t="inlineStr">
        <is>
          <t>C2907006</t>
        </is>
      </c>
      <c r="B23" s="2" t="inlineStr">
        <is>
          <t>FRC0603F2R20TS (FOJAN)</t>
        </is>
      </c>
      <c r="C23" s="2" t="inlineStr">
        <is>
          <t>replaces C22939 0603WAF220KT5E  -  not listed / out of stock</t>
        </is>
      </c>
    </row>
    <row r="24">
      <c r="A24" s="2" t="inlineStr">
        <is>
          <t>C2929994</t>
        </is>
      </c>
      <c r="B24" s="2" t="inlineStr">
        <is>
          <t>FRC0402F22R0TS (FOJAN)</t>
        </is>
      </c>
      <c r="C24" s="2" t="inlineStr">
        <is>
          <t>replaces C25092 0402WGF220JTCE  -  not listed / out of stock</t>
        </is>
      </c>
    </row>
    <row r="25">
      <c r="A25" s="2" t="inlineStr">
        <is>
          <t>C844452</t>
        </is>
      </c>
      <c r="B25" s="2" t="inlineStr">
        <is>
          <t>TNPW040210K0BEED (VISHAY)</t>
        </is>
      </c>
      <c r="C25" s="2" t="inlineStr">
        <is>
          <t>replaces C190095 RT0402BRD0710KL  -  not listed / out of stock</t>
        </is>
      </c>
    </row>
    <row r="26">
      <c r="A26" s="2" t="inlineStr">
        <is>
          <t>C85833</t>
        </is>
      </c>
      <c r="B26" s="2" t="inlineStr">
        <is>
          <t>BLM18KG601SN1D (muRata)</t>
        </is>
      </c>
      <c r="C26" s="2" t="inlineStr">
        <is>
          <t>replaces C1002 GZ1608D601TF  -  not listed / out of stock</t>
        </is>
      </c>
    </row>
    <row r="27">
      <c r="A27" s="2" t="inlineStr">
        <is>
          <t>C167974</t>
        </is>
      </c>
      <c r="B27" s="2" t="inlineStr">
        <is>
          <t>FNR5040S470MT (cjiang)</t>
        </is>
      </c>
      <c r="C27" s="2" t="inlineStr">
        <is>
          <t>replaces C86617 SWPA5040S470MT  -  not listed / out of stock</t>
        </is>
      </c>
    </row>
    <row r="28">
      <c r="A28" s="2" t="inlineStr">
        <is>
          <t>C2233314</t>
        </is>
      </c>
      <c r="B28" s="2" t="inlineStr">
        <is>
          <t>C0805C473F3GECAUTO (KEMET)</t>
        </is>
      </c>
      <c r="C28" s="2" t="inlineStr">
        <is>
          <t>replaces C53134 CL21B473KBCNNNC</t>
        </is>
      </c>
    </row>
    <row r="29">
      <c r="A29" s="2" t="inlineStr">
        <is>
          <t>C2904236</t>
        </is>
      </c>
      <c r="B29" s="2" t="inlineStr">
        <is>
          <t>HoJLR2512-3W-4mR-1% (Milliohm)</t>
        </is>
      </c>
      <c r="C29" s="2" t="inlineStr">
        <is>
          <t>replaces C500738 LR2512D-3W-4mR-1%</t>
        </is>
      </c>
    </row>
    <row r="30">
      <c r="A30" s="2" t="inlineStr">
        <is>
          <t>C2482</t>
        </is>
      </c>
      <c r="B30" s="2" t="inlineStr">
        <is>
          <t>SS110 (MDD(Microdiode Semiconductor))</t>
        </is>
      </c>
      <c r="C30" s="2" t="inlineStr">
        <is>
          <t>replaces C224219 SS110</t>
        </is>
      </c>
    </row>
    <row r="31">
      <c r="A31" s="2" t="inlineStr">
        <is>
          <t>C307331</t>
        </is>
      </c>
      <c r="B31" s="2" t="inlineStr">
        <is>
          <t>CL05B104KB54PNC</t>
        </is>
      </c>
      <c r="C31" s="2" t="inlineStr">
        <is>
          <t>now also used for the 22 x 100 nF that were on C1525 (out of stock)</t>
        </is>
      </c>
    </row>
    <row r="32">
      <c r="A32" s="2" t="n"/>
      <c r="B32" s="2" t="n"/>
      <c r="C32" s="2" t="n"/>
    </row>
    <row r="33">
      <c r="A33" s="2" t="inlineStr">
        <is>
          <t>Buy now / watch:</t>
        </is>
      </c>
      <c r="B33" s="2" t="n"/>
      <c r="C33" s="2" t="n"/>
    </row>
    <row r="34">
      <c r="A34" s="2" t="inlineStr">
        <is>
          <t>C249664</t>
        </is>
      </c>
      <c r="B34" s="2" t="inlineStr">
        <is>
          <t>C1,C11,C60</t>
        </is>
      </c>
      <c r="C34" s="2" t="inlineStr">
        <is>
          <t>175 pcs, 3 per board (58 boards). ChengTao RVE1J470M1010 is an exact 2nd source.</t>
        </is>
      </c>
    </row>
    <row r="35">
      <c r="A35" s="2" t="inlineStr">
        <is>
          <t>C49308184</t>
        </is>
      </c>
      <c r="B35" s="2" t="inlineStr">
        <is>
          <t>L1</t>
        </is>
      </c>
      <c r="C35" s="2" t="inlineStr">
        <is>
          <t>120 pcs. Buy now. SMMS1770-220M / SLO1770C (both 23 A sat, 1770 body) - SOREDE 16 A part dropped.</t>
        </is>
      </c>
    </row>
    <row r="36">
      <c r="A36" s="2" t="inlineStr">
        <is>
          <t>C5718384</t>
        </is>
      </c>
      <c r="B36" s="2" t="inlineStr">
        <is>
          <t>T2</t>
        </is>
      </c>
      <c r="C36" s="2" t="inlineStr">
        <is>
          <t>102 pcs, single maker (Pulse). Buy now. Backup needs the T2 jumper option (PA3855.005NLT in series).</t>
        </is>
      </c>
    </row>
    <row r="37">
      <c r="A37" s="2" t="inlineStr">
        <is>
          <t>C141980</t>
        </is>
      </c>
      <c r="B37" s="2" t="inlineStr">
        <is>
          <t>U2,U3,U10</t>
        </is>
      </c>
      <c r="C37" s="2" t="inlineStr">
        <is>
          <t>338 pcs, 3 per board. UCC27211AQDDARQ1 (same DDA) / UCC27211DR (SOIC-8, no pad).</t>
        </is>
      </c>
    </row>
    <row r="38">
      <c r="A38" s="2" t="n"/>
      <c r="B38" s="2" t="n"/>
      <c r="C38" s="2" t="n"/>
    </row>
    <row r="39">
      <c r="A39" s="2" t="inlineStr">
        <is>
          <t>Not on LCSC</t>
        </is>
      </c>
      <c r="B39" s="2" t="inlineStr">
        <is>
          <t>T1</t>
        </is>
      </c>
      <c r="C39" s="2" t="inlineStr">
        <is>
          <t>Custom PQ2620 transformer - the only part not orderable from LCSC</t>
        </is>
      </c>
    </row>
    <row r="40">
      <c r="A40" s="2" t="inlineStr">
        <is>
          <t>Extra to order</t>
        </is>
      </c>
      <c r="B40" s="2" t="inlineStr">
        <is>
          <t>J1, J2 plugs</t>
        </is>
      </c>
      <c r="C40" s="2" t="inlineStr">
        <is>
          <t>Kefa KF2EDGK-5.08-2P-AA (C440880), 2 per board - the cable-side plugs; JP1 needs one 2.54 mm jumper 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16" customWidth="1" min="4" max="4"/>
    <col width="20" customWidth="1" min="5" max="5"/>
    <col width="18" customWidth="1" min="6" max="6"/>
    <col width="20" customWidth="1" min="7" max="7"/>
    <col width="14" customWidth="1" min="8" max="8"/>
    <col width="10" customWidth="1" min="9" max="9"/>
    <col width="10" customWidth="1" min="10" max="10"/>
    <col width="9" customWidth="1" min="11" max="11"/>
    <col width="8" customWidth="1" min="12" max="12"/>
    <col width="10" customWidth="1" min="13" max="13"/>
    <col width="46" customWidth="1" min="14" max="14"/>
    <col width="26" customWidth="1" min="15" max="15"/>
    <col width="26" customWidth="1" min="16" max="16"/>
    <col width="10" customWidth="1" min="17" max="17"/>
    <col width="9" customWidth="1" min="18" max="18"/>
    <col width="7" customWidth="1" min="19" max="19"/>
    <col width="44" customWidth="1" min="20" max="20"/>
    <col width="26" customWidth="1" min="21" max="21"/>
    <col width="10" customWidth="1" min="22" max="22"/>
    <col width="9" customWidth="1" min="23" max="23"/>
    <col width="7" customWidth="1" min="24" max="24"/>
    <col width="44" customWidth="1" min="25" max="25"/>
    <col width="10" customWidth="1" min="26" max="26"/>
  </cols>
  <sheetData>
    <row r="1" ht="42" customHeight="1">
      <c r="A1" s="9" t="inlineStr">
        <is>
          <t>#</t>
        </is>
      </c>
      <c r="B1" s="9" t="inlineStr">
        <is>
          <t>Designators</t>
        </is>
      </c>
      <c r="C1" s="9" t="inlineStr">
        <is>
          <t>Qty / board</t>
        </is>
      </c>
      <c r="D1" s="9" t="inlineStr">
        <is>
          <t>Description</t>
        </is>
      </c>
      <c r="E1" s="9" t="inlineStr">
        <is>
          <t>Footprint</t>
        </is>
      </c>
      <c r="F1" s="9" t="inlineStr">
        <is>
          <t>Package type</t>
        </is>
      </c>
      <c r="G1" s="9" t="inlineStr">
        <is>
          <t>Primary MPN</t>
        </is>
      </c>
      <c r="H1" s="9" t="inlineStr">
        <is>
          <t>Manufacturer</t>
        </is>
      </c>
      <c r="I1" s="9" t="inlineStr">
        <is>
          <t>LCSC #</t>
        </is>
      </c>
      <c r="J1" s="9" t="inlineStr">
        <is>
          <t>LCSC stock today</t>
        </is>
      </c>
      <c r="K1" s="9" t="inlineStr">
        <is>
          <t>Boards covered</t>
        </is>
      </c>
      <c r="L1" s="9" t="inlineStr">
        <is>
          <t>Price from (USD)</t>
        </is>
      </c>
      <c r="M1" s="9" t="inlineStr">
        <is>
          <t>Risk</t>
        </is>
      </c>
      <c r="N1" s="9" t="inlineStr">
        <is>
          <t>Action</t>
        </is>
      </c>
      <c r="O1" s="9" t="inlineStr">
        <is>
          <t>Use as primary (same footprint)</t>
        </is>
      </c>
      <c r="P1" s="9" t="inlineStr">
        <is>
          <t>2nd source</t>
        </is>
      </c>
      <c r="Q1" s="9" t="inlineStr">
        <is>
          <t>2nd LCSC #</t>
        </is>
      </c>
      <c r="R1" s="9" t="inlineStr">
        <is>
          <t>2nd stock</t>
        </is>
      </c>
      <c r="S1" s="9" t="inlineStr">
        <is>
          <t>2nd check</t>
        </is>
      </c>
      <c r="T1" s="9" t="inlineStr">
        <is>
          <t>2nd spec / fit note</t>
        </is>
      </c>
      <c r="U1" s="9" t="inlineStr">
        <is>
          <t>3rd source</t>
        </is>
      </c>
      <c r="V1" s="9" t="inlineStr">
        <is>
          <t>3rd LCSC #</t>
        </is>
      </c>
      <c r="W1" s="9" t="inlineStr">
        <is>
          <t>3rd stock</t>
        </is>
      </c>
      <c r="X1" s="9" t="inlineStr">
        <is>
          <t>3rd check</t>
        </is>
      </c>
      <c r="Y1" s="9" t="inlineStr">
        <is>
          <t>3rd spec / fit note</t>
        </is>
      </c>
      <c r="Z1" s="9" t="inlineStr">
        <is>
          <t>Sources with stock for 100 boards</t>
        </is>
      </c>
    </row>
    <row r="2">
      <c r="A2" s="10" t="n">
        <v>1</v>
      </c>
      <c r="B2" s="11" t="inlineStr">
        <is>
          <t>C1,C11,C60</t>
        </is>
      </c>
      <c r="C2" s="10" t="n">
        <v>3</v>
      </c>
      <c r="D2" s="11" t="inlineStr">
        <is>
          <t>47u 63V</t>
        </is>
      </c>
      <c r="E2" s="11" t="inlineStr">
        <is>
          <t>CP_Elec_10x10.5</t>
        </is>
      </c>
      <c r="F2" s="11" t="inlineStr">
        <is>
          <t>Standard (SMD alu 10x10.5)</t>
        </is>
      </c>
      <c r="G2" s="10" t="inlineStr">
        <is>
          <t>VEJ470M1JTR-1010</t>
        </is>
      </c>
      <c r="H2" s="10" t="inlineStr">
        <is>
          <t>Lelon</t>
        </is>
      </c>
      <c r="I2" s="10" t="inlineStr">
        <is>
          <t>C249664</t>
        </is>
      </c>
      <c r="J2" s="12" t="n">
        <v>175</v>
      </c>
      <c r="K2" s="12">
        <f>IF(ISNUMBER(J2),INT(J2/C2),0)</f>
        <v/>
      </c>
      <c r="L2" s="13" t="n">
        <v>0.08749999999999999</v>
      </c>
      <c r="M2" s="14" t="inlineStr">
        <is>
          <t>HIGH</t>
        </is>
      </c>
      <c r="N2" s="11" t="inlineStr">
        <is>
          <t>175 pcs, 3 per board (58 boards). ChengTao RVE1J470M1010 is an exact 2nd source.</t>
        </is>
      </c>
      <c r="O2" s="11" t="inlineStr"/>
      <c r="P2" s="11" t="inlineStr">
        <is>
          <t>RVE1J470M1010 (ChengTao)</t>
        </is>
      </c>
      <c r="Q2" s="10" t="inlineStr">
        <is>
          <t>C46527630</t>
        </is>
      </c>
      <c r="R2" s="12" t="n">
        <v>350</v>
      </c>
      <c r="S2" s="15" t="inlineStr">
        <is>
          <t>EQ</t>
        </is>
      </c>
      <c r="T2" s="11" t="inlineStr">
        <is>
          <t>ChengTao RVE1J470M1010: 47 uF 63 V 10x10.5, 105 C</t>
        </is>
      </c>
      <c r="U2" s="11" t="inlineStr">
        <is>
          <t>RVT63V100M10X10 (JIERR)</t>
        </is>
      </c>
      <c r="V2" s="10" t="inlineStr">
        <is>
          <t>C51953411</t>
        </is>
      </c>
      <c r="W2" s="12" t="n">
        <v>24990</v>
      </c>
      <c r="X2" s="16" t="inlineStr">
        <is>
          <t>CHK</t>
        </is>
      </c>
      <c r="Y2" s="11" t="inlineStr">
        <is>
          <t>JIERR 100 uF 63 V 10x10.5: same can, more C -&gt; check F1 inrush</t>
        </is>
      </c>
      <c r="Z2" s="10">
        <f>IF(ISNUMBER(J2),IF(J2&gt;=100*C2,1,0),0)+IF(ISNUMBER(R2),IF(R2&gt;=100*C2,1,0),0)+IF(ISNUMBER(W2),IF(W2&gt;=100*C2,1,0),0)</f>
        <v/>
      </c>
    </row>
    <row r="3">
      <c r="A3" s="10" t="n">
        <v>28</v>
      </c>
      <c r="B3" s="11" t="inlineStr">
        <is>
          <t>L1</t>
        </is>
      </c>
      <c r="C3" s="10" t="n">
        <v>1</v>
      </c>
      <c r="D3" s="11" t="inlineStr">
        <is>
          <t>PSPMAA1770-220M-CGP</t>
        </is>
      </c>
      <c r="E3" s="11" t="inlineStr">
        <is>
          <t>L_Bourns_SRP1770TA_16.9x16.9mm</t>
        </is>
      </c>
      <c r="F3" s="11" t="inlineStr">
        <is>
          <t>De-facto standard (many makers) (1770 molded)</t>
        </is>
      </c>
      <c r="G3" s="10" t="inlineStr">
        <is>
          <t>PSPMAA1770-220M-CGP</t>
        </is>
      </c>
      <c r="H3" s="10" t="inlineStr">
        <is>
          <t>PROD Tech</t>
        </is>
      </c>
      <c r="I3" s="10" t="inlineStr">
        <is>
          <t>C49308184</t>
        </is>
      </c>
      <c r="J3" s="12" t="n">
        <v>120</v>
      </c>
      <c r="K3" s="12">
        <f>IF(ISNUMBER(J3),INT(J3/C3),0)</f>
        <v/>
      </c>
      <c r="L3" s="13" t="n">
        <v>0.8544</v>
      </c>
      <c r="M3" s="14" t="inlineStr">
        <is>
          <t>HIGH</t>
        </is>
      </c>
      <c r="N3" s="11" t="inlineStr">
        <is>
          <t>120 pcs. Buy now. SMMS1770-220M / SLO1770C (both 23 A sat, 1770 body) - SOREDE 16 A part dropped.</t>
        </is>
      </c>
      <c r="O3" s="11" t="inlineStr"/>
      <c r="P3" s="11" t="inlineStr">
        <is>
          <t>SMMS1770-220M (Shun Xiang Nuo)</t>
        </is>
      </c>
      <c r="Q3" s="10" t="inlineStr">
        <is>
          <t>C2976969</t>
        </is>
      </c>
      <c r="R3" s="12" t="n">
        <v>961</v>
      </c>
      <c r="S3" s="16" t="inlineStr">
        <is>
          <t>CHK</t>
        </is>
      </c>
      <c r="T3" s="11" t="inlineStr">
        <is>
          <t>Shun Xiang Nuo SMMS1770-220M 22 uH, Isat 23 A, 17.5x17.2 - same 1770 body; confirm land drawing</t>
        </is>
      </c>
      <c r="U3" s="11" t="inlineStr">
        <is>
          <t>SLO1770C220MTT (Sunltech)</t>
        </is>
      </c>
      <c r="V3" s="10" t="inlineStr">
        <is>
          <t>C48996578</t>
        </is>
      </c>
      <c r="W3" s="12" t="n">
        <v>150</v>
      </c>
      <c r="X3" s="17" t="inlineStr">
        <is>
          <t>DS</t>
        </is>
      </c>
      <c r="Y3" s="11" t="inlineStr">
        <is>
          <t>Sunltech SLO1770C220MTT 22 uH, Isat 23 A - land 3.5x12.8 / gap 11.2 fits the SRP1770 footprint</t>
        </is>
      </c>
      <c r="Z3" s="10">
        <f>IF(ISNUMBER(J3),IF(J3&gt;=100*C3,1,0),0)+IF(ISNUMBER(R3),IF(R3&gt;=100*C3,1,0),0)+IF(ISNUMBER(W3),IF(W3&gt;=100*C3,1,0),0)</f>
        <v/>
      </c>
    </row>
    <row r="4">
      <c r="A4" s="10" t="n">
        <v>68</v>
      </c>
      <c r="B4" s="11" t="inlineStr">
        <is>
          <t>T2</t>
        </is>
      </c>
      <c r="C4" s="10" t="n">
        <v>1</v>
      </c>
      <c r="D4" s="11" t="inlineStr">
        <is>
          <t>PA3855.006NLT</t>
        </is>
      </c>
      <c r="E4" s="11" t="inlineStr">
        <is>
          <t>TX_PA3855_EP13_10P</t>
        </is>
      </c>
      <c r="F4" s="11" t="inlineStr">
        <is>
          <t>Vendor-specific (Pulse EP13Plus)</t>
        </is>
      </c>
      <c r="G4" s="10" t="inlineStr">
        <is>
          <t>PA3855.006NLT</t>
        </is>
      </c>
      <c r="H4" s="10" t="inlineStr">
        <is>
          <t>PULSE</t>
        </is>
      </c>
      <c r="I4" s="10" t="inlineStr">
        <is>
          <t>C5718384</t>
        </is>
      </c>
      <c r="J4" s="12" t="n">
        <v>102</v>
      </c>
      <c r="K4" s="12">
        <f>IF(ISNUMBER(J4),INT(J4/C4),0)</f>
        <v/>
      </c>
      <c r="L4" s="13" t="n">
        <v>1.2828</v>
      </c>
      <c r="M4" s="14" t="inlineStr">
        <is>
          <t>HIGH</t>
        </is>
      </c>
      <c r="N4" s="11" t="inlineStr">
        <is>
          <t>102 pcs, single maker (Pulse). Buy now. Backup needs the T2 jumper option (PA3855.005NLT in series).</t>
        </is>
      </c>
      <c r="O4" s="11" t="inlineStr"/>
      <c r="P4" s="11" t="inlineStr">
        <is>
          <t>PA3855.005NLT (PULSE)</t>
        </is>
      </c>
      <c r="Q4" s="10" t="inlineStr">
        <is>
          <t>C17526143</t>
        </is>
      </c>
      <c r="R4" s="12" t="n">
        <v>520</v>
      </c>
      <c r="S4" s="14" t="inlineStr">
        <is>
          <t>PCB</t>
        </is>
      </c>
      <c r="T4" s="11" t="inlineStr">
        <is>
          <t>Pulse PA3855.005NLT: same EP13 footprint and primary, secondaries must be in SERIES - needs the T2 jumper option</t>
        </is>
      </c>
      <c r="U4" s="11" t="inlineStr"/>
      <c r="V4" s="10" t="inlineStr"/>
      <c r="W4" s="12" t="n"/>
      <c r="X4" s="18" t="inlineStr"/>
      <c r="Y4" s="11" t="inlineStr">
        <is>
          <t>Custom-wound EP13 to the same pinout from a local winder (no PCB change)</t>
        </is>
      </c>
      <c r="Z4" s="10">
        <f>IF(ISNUMBER(J4),IF(J4&gt;=100*C4,1,0),0)+IF(ISNUMBER(R4),IF(R4&gt;=100*C4,1,0),0)+IF(ISNUMBER(W4),IF(W4&gt;=100*C4,1,0),0)</f>
        <v/>
      </c>
    </row>
    <row r="5">
      <c r="A5" s="10" t="n">
        <v>70</v>
      </c>
      <c r="B5" s="11" t="inlineStr">
        <is>
          <t>U2,U3,U10</t>
        </is>
      </c>
      <c r="C5" s="10" t="n">
        <v>3</v>
      </c>
      <c r="D5" s="11" t="inlineStr">
        <is>
          <t>UCC27211DDAR</t>
        </is>
      </c>
      <c r="E5" s="11" t="inlineStr">
        <is>
          <t>SOIC-8-1EP_3.9x4.9mm_P1.27mm_EP2.41x3.3mm</t>
        </is>
      </c>
      <c r="F5" s="11" t="inlineStr">
        <is>
          <t>Standard (SOIC-8 PowerPAD)</t>
        </is>
      </c>
      <c r="G5" s="10" t="inlineStr">
        <is>
          <t>UCC27211DDAR</t>
        </is>
      </c>
      <c r="H5" s="10" t="inlineStr">
        <is>
          <t>TI</t>
        </is>
      </c>
      <c r="I5" s="10" t="inlineStr">
        <is>
          <t>C141980</t>
        </is>
      </c>
      <c r="J5" s="12" t="n">
        <v>338</v>
      </c>
      <c r="K5" s="12">
        <f>IF(ISNUMBER(J5),INT(J5/C5),0)</f>
        <v/>
      </c>
      <c r="L5" s="13" t="n">
        <v>1.4619</v>
      </c>
      <c r="M5" s="14" t="inlineStr">
        <is>
          <t>HIGH</t>
        </is>
      </c>
      <c r="N5" s="11" t="inlineStr">
        <is>
          <t>338 pcs, 3 per board. UCC27211AQDDARQ1 (same DDA) / UCC27211DR (SOIC-8, no pad).</t>
        </is>
      </c>
      <c r="O5" s="11" t="inlineStr"/>
      <c r="P5" s="11" t="inlineStr">
        <is>
          <t>UCC27211AQDDARQ1 (TI)</t>
        </is>
      </c>
      <c r="Q5" s="10" t="inlineStr">
        <is>
          <t>C485921</t>
        </is>
      </c>
      <c r="R5" s="12" t="n">
        <v>755</v>
      </c>
      <c r="S5" s="17" t="inlineStr">
        <is>
          <t>DS</t>
        </is>
      </c>
      <c r="T5" s="11" t="inlineStr">
        <is>
          <t>TI UCC27211AQDDARQ1 (same DDA package and pinout)</t>
        </is>
      </c>
      <c r="U5" s="11" t="inlineStr">
        <is>
          <t>UCC27211DR (TI)</t>
        </is>
      </c>
      <c r="V5" s="10" t="inlineStr">
        <is>
          <t>C2871979</t>
        </is>
      </c>
      <c r="W5" s="12" t="n">
        <v>2138</v>
      </c>
      <c r="X5" s="17" t="inlineStr">
        <is>
          <t>DS</t>
        </is>
      </c>
      <c r="Y5" s="11" t="inlineStr">
        <is>
          <t>TI UCC27211DR SOIC-8 (no pad): same pinout; pad 9 left unsoldered - remove its paste for this build</t>
        </is>
      </c>
      <c r="Z5" s="10">
        <f>IF(ISNUMBER(J5),IF(J5&gt;=100*C5,1,0),0)+IF(ISNUMBER(R5),IF(R5&gt;=100*C5,1,0),0)+IF(ISNUMBER(W5),IF(W5&gt;=100*C5,1,0),0)</f>
        <v/>
      </c>
    </row>
    <row r="6">
      <c r="A6" s="10" t="n">
        <v>19</v>
      </c>
      <c r="B6" s="11" t="inlineStr">
        <is>
          <t>CR1,CR2,CR3,CR4,CR5,CR6</t>
        </is>
      </c>
      <c r="C6" s="10" t="n">
        <v>6</v>
      </c>
      <c r="D6" s="11" t="inlineStr">
        <is>
          <t>100n 100V C0G</t>
        </is>
      </c>
      <c r="E6" s="11" t="inlineStr">
        <is>
          <t>C_1206_3216Metric</t>
        </is>
      </c>
      <c r="F6" s="11" t="inlineStr">
        <is>
          <t>Standard (1206)</t>
        </is>
      </c>
      <c r="G6" s="10" t="inlineStr">
        <is>
          <t>C1206N104J101T</t>
        </is>
      </c>
      <c r="H6" s="10" t="inlineStr">
        <is>
          <t>IHHEC</t>
        </is>
      </c>
      <c r="I6" s="10" t="inlineStr">
        <is>
          <t>C2940749</t>
        </is>
      </c>
      <c r="J6" s="12" t="n">
        <v>1802</v>
      </c>
      <c r="K6" s="12">
        <f>IF(ISNUMBER(J6),INT(J6/C6),0)</f>
        <v/>
      </c>
      <c r="L6" s="13" t="n">
        <v>0.1817</v>
      </c>
      <c r="M6" s="16" t="inlineStr">
        <is>
          <t>MEDIUM</t>
        </is>
      </c>
      <c r="N6" s="11" t="inlineStr">
        <is>
          <t>902 pcs, 6 per board (150 boards). Murata / TDK 1206 C0G 100 V are verified 2nd/3rd (CCTC/HRE 'M3L' parts dropped: not C0G).</t>
        </is>
      </c>
      <c r="O6" s="11" t="inlineStr"/>
      <c r="P6" s="11" t="inlineStr">
        <is>
          <t>GRM31C5C2A104JA01L (muRata)</t>
        </is>
      </c>
      <c r="Q6" s="10" t="inlineStr">
        <is>
          <t>C405303</t>
        </is>
      </c>
      <c r="R6" s="12" t="n">
        <v>7815</v>
      </c>
      <c r="S6" s="15" t="inlineStr">
        <is>
          <t>EQ</t>
        </is>
      </c>
      <c r="T6" s="11" t="inlineStr">
        <is>
          <t>Murata GRM31C5C2A104JA01L 100 nF C0G 5 % 100 V 1206</t>
        </is>
      </c>
      <c r="U6" s="11" t="inlineStr">
        <is>
          <t>C3216C0G2A104JT000E (TDK)</t>
        </is>
      </c>
      <c r="V6" s="10" t="inlineStr">
        <is>
          <t>C338111</t>
        </is>
      </c>
      <c r="W6" s="12" t="n">
        <v>1350</v>
      </c>
      <c r="X6" s="15" t="inlineStr">
        <is>
          <t>EQ</t>
        </is>
      </c>
      <c r="Y6" s="11" t="inlineStr">
        <is>
          <t>TDK C3216C0G2A104JT000E 100 nF C0G 5 % 100 V 1206</t>
        </is>
      </c>
      <c r="Z6" s="10">
        <f>IF(ISNUMBER(J6),IF(J6&gt;=100*C6,1,0),0)+IF(ISNUMBER(R6),IF(R6&gt;=100*C6,1,0),0)+IF(ISNUMBER(W6),IF(W6&gt;=100*C6,1,0),0)</f>
        <v/>
      </c>
    </row>
    <row r="7">
      <c r="A7" s="10" t="n">
        <v>26</v>
      </c>
      <c r="B7" s="11" t="inlineStr">
        <is>
          <t>F1</t>
        </is>
      </c>
      <c r="C7" s="10" t="n">
        <v>1</v>
      </c>
      <c r="D7" s="11" t="inlineStr">
        <is>
          <t>0458007.DR</t>
        </is>
      </c>
      <c r="E7" s="11" t="inlineStr">
        <is>
          <t>Fuse_1206_3216Metric</t>
        </is>
      </c>
      <c r="F7" s="11" t="inlineStr">
        <is>
          <t>Standard (1206 fuse)</t>
        </is>
      </c>
      <c r="G7" s="10" t="inlineStr">
        <is>
          <t>0458007.DR</t>
        </is>
      </c>
      <c r="H7" s="10" t="inlineStr">
        <is>
          <t>Littelfuse</t>
        </is>
      </c>
      <c r="I7" s="10" t="inlineStr">
        <is>
          <t>C206980</t>
        </is>
      </c>
      <c r="J7" s="12" t="n">
        <v>765</v>
      </c>
      <c r="K7" s="12">
        <f>IF(ISNUMBER(J7),INT(J7/C7),0)</f>
        <v/>
      </c>
      <c r="L7" s="13" t="n">
        <v>0.4845</v>
      </c>
      <c r="M7" s="16" t="inlineStr">
        <is>
          <t>MEDIUM</t>
        </is>
      </c>
      <c r="N7" s="11" t="inlineStr">
        <is>
          <t>765 pcs. Reomax R12.000.7 verified as 2nd source.</t>
        </is>
      </c>
      <c r="O7" s="11" t="inlineStr"/>
      <c r="P7" s="11" t="inlineStr">
        <is>
          <t>R12.000.7 (Reomax)</t>
        </is>
      </c>
      <c r="Q7" s="10" t="inlineStr">
        <is>
          <t>C5383192</t>
        </is>
      </c>
      <c r="R7" s="12" t="n">
        <v>2710</v>
      </c>
      <c r="S7" s="17" t="inlineStr">
        <is>
          <t>DS</t>
        </is>
      </c>
      <c r="T7" s="11" t="inlineStr">
        <is>
          <t>Reomax R12.000.7 7 A 63 V DC 1206</t>
        </is>
      </c>
      <c r="U7" s="11" t="inlineStr">
        <is>
          <t>3413.0326.11 (SCHURTER)</t>
        </is>
      </c>
      <c r="V7" s="10" t="inlineStr">
        <is>
          <t>C3165071</t>
        </is>
      </c>
      <c r="W7" s="12" t="n">
        <v>40</v>
      </c>
      <c r="X7" s="15" t="inlineStr">
        <is>
          <t>EQ</t>
        </is>
      </c>
      <c r="Y7" s="11" t="inlineStr">
        <is>
          <t>Schurter 3413.0326.11 7 A 63 V 1206 (low stock)</t>
        </is>
      </c>
      <c r="Z7" s="10">
        <f>IF(ISNUMBER(J7),IF(J7&gt;=100*C7,1,0),0)+IF(ISNUMBER(R7),IF(R7&gt;=100*C7,1,0),0)+IF(ISNUMBER(W7),IF(W7&gt;=100*C7,1,0),0)</f>
        <v/>
      </c>
    </row>
    <row r="8">
      <c r="A8" s="10" t="n">
        <v>30</v>
      </c>
      <c r="B8" s="11" t="inlineStr">
        <is>
          <t>Q1,Q4</t>
        </is>
      </c>
      <c r="C8" s="10" t="n">
        <v>2</v>
      </c>
      <c r="D8" s="11" t="inlineStr">
        <is>
          <t>NCEP0140AG</t>
        </is>
      </c>
      <c r="E8" s="11" t="inlineStr">
        <is>
          <t>TDSON-8-1</t>
        </is>
      </c>
      <c r="F8" s="11" t="inlineStr">
        <is>
          <t>Standard (DFN5x6 / PowerPAK SO-8)</t>
        </is>
      </c>
      <c r="G8" s="10" t="inlineStr">
        <is>
          <t>NCEP0140AG</t>
        </is>
      </c>
      <c r="H8" s="10" t="inlineStr">
        <is>
          <t>NCE</t>
        </is>
      </c>
      <c r="I8" s="10" t="inlineStr">
        <is>
          <t>C503009</t>
        </is>
      </c>
      <c r="J8" s="12" t="n">
        <v>4695</v>
      </c>
      <c r="K8" s="12">
        <f>IF(ISNUMBER(J8),INT(J8/C8),0)</f>
        <v/>
      </c>
      <c r="L8" s="13" t="n">
        <v>0.286</v>
      </c>
      <c r="M8" s="16" t="inlineStr">
        <is>
          <t>MEDIUM</t>
        </is>
      </c>
      <c r="N8" s="11" t="inlineStr">
        <is>
          <t>4,695 pcs (2,300 boards). NCE alternates have 2x the gate charge - fine, but check Q1/Q4 temperature on the bench if used.</t>
        </is>
      </c>
      <c r="O8" s="11" t="inlineStr"/>
      <c r="P8" s="11" t="inlineStr">
        <is>
          <t>NCEP095N10AG (NCE)</t>
        </is>
      </c>
      <c r="Q8" s="10" t="inlineStr">
        <is>
          <t>C2686677</t>
        </is>
      </c>
      <c r="R8" s="12" t="n">
        <v>645</v>
      </c>
      <c r="S8" s="16" t="inlineStr">
        <is>
          <t>CHK</t>
        </is>
      </c>
      <c r="T8" s="11" t="inlineStr">
        <is>
          <t>NCE NCEP095N10AG 100 V 12 mOhm: Qg 54 nC vs 26 nC - more gate/switching loss in the hard-switched Q1/Q4, check temp</t>
        </is>
      </c>
      <c r="U8" s="11" t="inlineStr">
        <is>
          <t>NCEP068N10G (NCE)</t>
        </is>
      </c>
      <c r="V8" s="10" t="inlineStr">
        <is>
          <t>C503061</t>
        </is>
      </c>
      <c r="W8" s="12" t="n">
        <v>7577</v>
      </c>
      <c r="X8" s="16" t="inlineStr">
        <is>
          <t>CHK</t>
        </is>
      </c>
      <c r="Y8" s="11" t="inlineStr">
        <is>
          <t>NCE NCEP068N10G 100 V 6.1 mOhm: Qg 60 nC vs 26 nC - same check</t>
        </is>
      </c>
      <c r="Z8" s="10">
        <f>IF(ISNUMBER(J8),IF(J8&gt;=100*C8,1,0),0)+IF(ISNUMBER(R8),IF(R8&gt;=100*C8,1,0),0)+IF(ISNUMBER(W8),IF(W8&gt;=100*C8,1,0),0)</f>
        <v/>
      </c>
    </row>
    <row r="9">
      <c r="A9" s="10" t="n">
        <v>35</v>
      </c>
      <c r="B9" s="11" t="inlineStr">
        <is>
          <t>Q11</t>
        </is>
      </c>
      <c r="C9" s="10" t="n">
        <v>1</v>
      </c>
      <c r="D9" s="11" t="inlineStr">
        <is>
          <t>FDN86246</t>
        </is>
      </c>
      <c r="E9" s="11" t="inlineStr">
        <is>
          <t>SOT-23</t>
        </is>
      </c>
      <c r="F9" s="11" t="inlineStr">
        <is>
          <t>Standard (SOT-23)</t>
        </is>
      </c>
      <c r="G9" s="10" t="inlineStr">
        <is>
          <t>FDN86246</t>
        </is>
      </c>
      <c r="H9" s="10" t="inlineStr">
        <is>
          <t>onsemi</t>
        </is>
      </c>
      <c r="I9" s="10" t="inlineStr">
        <is>
          <t>C891118</t>
        </is>
      </c>
      <c r="J9" s="12" t="n">
        <v>1606</v>
      </c>
      <c r="K9" s="12">
        <f>IF(ISNUMBER(J9),INT(J9/C9),0)</f>
        <v/>
      </c>
      <c r="L9" s="13" t="n">
        <v>0.6163</v>
      </c>
      <c r="M9" s="16" t="inlineStr">
        <is>
          <t>MEDIUM</t>
        </is>
      </c>
      <c r="N9" s="11" t="inlineStr">
        <is>
          <t>1,606 pcs. JSMSEMI FDN86246 / HSS2N15 (150 V) - same SOT-23 pinout.</t>
        </is>
      </c>
      <c r="O9" s="11" t="inlineStr"/>
      <c r="P9" s="11" t="inlineStr">
        <is>
          <t>FDN86246 (JSMSEMI)</t>
        </is>
      </c>
      <c r="Q9" s="10" t="inlineStr">
        <is>
          <t>C7421706</t>
        </is>
      </c>
      <c r="R9" s="12" t="n">
        <v>4035</v>
      </c>
      <c r="S9" s="15" t="inlineStr">
        <is>
          <t>EQ</t>
        </is>
      </c>
      <c r="T9" s="11" t="inlineStr">
        <is>
          <t>JSMSEMI FDN86246 (same part no.) 150 V</t>
        </is>
      </c>
      <c r="U9" s="11" t="inlineStr">
        <is>
          <t>HSS2N15 (HUASHUO)</t>
        </is>
      </c>
      <c r="V9" s="10" t="inlineStr">
        <is>
          <t>C2987707</t>
        </is>
      </c>
      <c r="W9" s="12" t="n">
        <v>6090</v>
      </c>
      <c r="X9" s="15" t="inlineStr">
        <is>
          <t>EQ</t>
        </is>
      </c>
      <c r="Y9" s="11" t="inlineStr">
        <is>
          <t>HUASHUO HSS2N15 150 V 1.8 A</t>
        </is>
      </c>
      <c r="Z9" s="10">
        <f>IF(ISNUMBER(J9),IF(J9&gt;=100*C9,1,0),0)+IF(ISNUMBER(R9),IF(R9&gt;=100*C9,1,0),0)+IF(ISNUMBER(W9),IF(W9&gt;=100*C9,1,0),0)</f>
        <v/>
      </c>
    </row>
    <row r="10">
      <c r="A10" s="10" t="n">
        <v>51</v>
      </c>
      <c r="B10" s="11" t="inlineStr">
        <is>
          <t>R81</t>
        </is>
      </c>
      <c r="C10" s="10" t="n">
        <v>1</v>
      </c>
      <c r="D10" s="11" t="inlineStr">
        <is>
          <t>191k 0.1%</t>
        </is>
      </c>
      <c r="E10" s="11" t="inlineStr">
        <is>
          <t>R_1206_3216Metric</t>
        </is>
      </c>
      <c r="F10" s="11" t="inlineStr">
        <is>
          <t>Standard (1206)</t>
        </is>
      </c>
      <c r="G10" s="10" t="inlineStr">
        <is>
          <t>RT1206BRD07191KL</t>
        </is>
      </c>
      <c r="H10" s="10" t="inlineStr">
        <is>
          <t>YAGEO</t>
        </is>
      </c>
      <c r="I10" s="10" t="inlineStr">
        <is>
          <t>C870479</t>
        </is>
      </c>
      <c r="J10" s="12" t="n">
        <v>4755</v>
      </c>
      <c r="K10" s="12">
        <f>IF(ISNUMBER(J10),INT(J10/C10),0)</f>
        <v/>
      </c>
      <c r="L10" s="13" t="n">
        <v>0.0506</v>
      </c>
      <c r="M10" s="16" t="inlineStr">
        <is>
          <t>MEDIUM</t>
        </is>
      </c>
      <c r="N10" s="11" t="inlineStr">
        <is>
          <t>Single LCSC source (4,755 pcs, 1 per board). Other makers only at Digikey/Mouser.</t>
        </is>
      </c>
      <c r="O10" s="11" t="inlineStr"/>
      <c r="P10" s="11" t="inlineStr"/>
      <c r="Q10" s="10" t="inlineStr"/>
      <c r="R10" s="12" t="n"/>
      <c r="S10" s="18" t="inlineStr"/>
      <c r="T10" s="11" t="inlineStr">
        <is>
          <t>No other 191k 0.1 % 1206 in stock on LCSC (Panasonic ERA-8AEB1913V / Vishay TNPW1206191KBEEA at Digikey/Mouser)</t>
        </is>
      </c>
      <c r="U10" s="11" t="inlineStr"/>
      <c r="V10" s="10" t="inlineStr"/>
      <c r="W10" s="12" t="n"/>
      <c r="X10" s="18" t="inlineStr"/>
      <c r="Y10" s="11" t="inlineStr">
        <is>
          <t>none in stock on LCSC</t>
        </is>
      </c>
      <c r="Z10" s="10">
        <f>IF(ISNUMBER(J10),IF(J10&gt;=100*C10,1,0),0)+IF(ISNUMBER(R10),IF(R10&gt;=100*C10,1,0),0)+IF(ISNUMBER(W10),IF(W10&gt;=100*C10,1,0),0)</f>
        <v/>
      </c>
    </row>
    <row r="11">
      <c r="A11" s="10" t="n">
        <v>75</v>
      </c>
      <c r="B11" s="11" t="inlineStr">
        <is>
          <t>U9</t>
        </is>
      </c>
      <c r="C11" s="10" t="n">
        <v>1</v>
      </c>
      <c r="D11" s="11" t="inlineStr">
        <is>
          <t>CA-IS3062VW</t>
        </is>
      </c>
      <c r="E11" s="11" t="inlineStr">
        <is>
          <t>SOIC-16W_7.5x10.3mm_P1.27mm</t>
        </is>
      </c>
      <c r="F11" s="11" t="inlineStr">
        <is>
          <t>Standard (SOIC-16W)</t>
        </is>
      </c>
      <c r="G11" s="10" t="inlineStr">
        <is>
          <t>CA-IS3062VW</t>
        </is>
      </c>
      <c r="H11" s="10" t="inlineStr">
        <is>
          <t>Chipanalog</t>
        </is>
      </c>
      <c r="I11" s="10" t="inlineStr">
        <is>
          <t>C5338808</t>
        </is>
      </c>
      <c r="J11" s="12" t="n">
        <v>4777</v>
      </c>
      <c r="K11" s="12">
        <f>IF(ISNUMBER(J11),INT(J11/C11),0)</f>
        <v/>
      </c>
      <c r="L11" s="13" t="n">
        <v>2.16</v>
      </c>
      <c r="M11" s="16" t="inlineStr">
        <is>
          <t>MEDIUM</t>
        </is>
      </c>
      <c r="N11" s="11" t="inlineStr">
        <is>
          <t>4,777 pcs but Chipanalog only (integrated isolated DC-DC). Backup ISO1042DW + B0505S needs the U9 reserve option.</t>
        </is>
      </c>
      <c r="O11" s="11" t="inlineStr"/>
      <c r="P11" s="11" t="inlineStr">
        <is>
          <t>ISO1042QDWRQ1 (TI)</t>
        </is>
      </c>
      <c r="Q11" s="10" t="inlineStr">
        <is>
          <t>C2671569</t>
        </is>
      </c>
      <c r="R11" s="12" t="n">
        <v>2231</v>
      </c>
      <c r="S11" s="14" t="inlineStr">
        <is>
          <t>PCB</t>
        </is>
      </c>
      <c r="T11" s="11" t="inlineStr">
        <is>
          <t>TI ISO1042QDWRQ1 fits the U9 footprint (pins 2-16 match) but needs pin 1 = 3.3 V and an external isolated 5 V (B0505S module) - U9 reserve option</t>
        </is>
      </c>
      <c r="U11" s="11" t="inlineStr">
        <is>
          <t>ISO1042DWR (TI)</t>
        </is>
      </c>
      <c r="V11" s="10" t="inlineStr">
        <is>
          <t>C1848126</t>
        </is>
      </c>
      <c r="W11" s="12" t="n">
        <v>270</v>
      </c>
      <c r="X11" s="14" t="inlineStr">
        <is>
          <t>PCB</t>
        </is>
      </c>
      <c r="Y11" s="11" t="inlineStr">
        <is>
          <t>TI ISO1042DWR - same as above</t>
        </is>
      </c>
      <c r="Z11" s="10">
        <f>IF(ISNUMBER(J11),IF(J11&gt;=100*C11,1,0),0)+IF(ISNUMBER(R11),IF(R11&gt;=100*C11,1,0),0)+IF(ISNUMBER(W11),IF(W11&gt;=100*C11,1,0),0)</f>
        <v/>
      </c>
    </row>
    <row r="12">
      <c r="A12" s="10" t="n">
        <v>77</v>
      </c>
      <c r="B12" s="11" t="inlineStr">
        <is>
          <t>U12</t>
        </is>
      </c>
      <c r="C12" s="10" t="n">
        <v>1</v>
      </c>
      <c r="D12" s="11" t="inlineStr">
        <is>
          <t>CA-IS3742LW</t>
        </is>
      </c>
      <c r="E12" s="11" t="inlineStr">
        <is>
          <t>SOIC-16W_7.5x10.3mm_P1.27mm</t>
        </is>
      </c>
      <c r="F12" s="11" t="inlineStr">
        <is>
          <t>Standard (SOIC-16W)</t>
        </is>
      </c>
      <c r="G12" s="10" t="inlineStr">
        <is>
          <t>CA-IS3742LW</t>
        </is>
      </c>
      <c r="H12" s="10" t="inlineStr">
        <is>
          <t>Chipanalog</t>
        </is>
      </c>
      <c r="I12" s="10" t="inlineStr">
        <is>
          <t>C4944981</t>
        </is>
      </c>
      <c r="J12" s="12" t="n">
        <v>2320</v>
      </c>
      <c r="K12" s="12">
        <f>IF(ISNUMBER(J12),INT(J12/C12),0)</f>
        <v/>
      </c>
      <c r="L12" s="13" t="n">
        <v>0.46</v>
      </c>
      <c r="M12" s="16" t="inlineStr">
        <is>
          <t>MEDIUM</t>
        </is>
      </c>
      <c r="N12" s="11" t="inlineStr">
        <is>
          <t>2,320 pcs; default-LOW wide-body alternates exist but have low stock (TI 139, YLPTEC 90).</t>
        </is>
      </c>
      <c r="O12" s="11" t="inlineStr"/>
      <c r="P12" s="11" t="inlineStr">
        <is>
          <t>ISO7742FDWR (TI)</t>
        </is>
      </c>
      <c r="Q12" s="10" t="inlineStr">
        <is>
          <t>C2862403</t>
        </is>
      </c>
      <c r="R12" s="12" t="n">
        <v>139</v>
      </c>
      <c r="S12" s="17" t="inlineStr">
        <is>
          <t>DS</t>
        </is>
      </c>
      <c r="T12" s="11" t="inlineStr">
        <is>
          <t>TI ISO7742FDWR: same pinout, default LOW (F) like CA-IS3742L - low stock</t>
        </is>
      </c>
      <c r="U12" s="11" t="inlineStr">
        <is>
          <t>ISO7742W0-Y (YLPTEC)</t>
        </is>
      </c>
      <c r="V12" s="10" t="inlineStr">
        <is>
          <t>C53446650</t>
        </is>
      </c>
      <c r="W12" s="12" t="n">
        <v>90</v>
      </c>
      <c r="X12" s="17" t="inlineStr">
        <is>
          <t>DS</t>
        </is>
      </c>
      <c r="Y12" s="11" t="inlineStr">
        <is>
          <t>YLPTEC ISO7742W0-Y: wide body, default LOW ('0') - low stock (do NOT use the N0 narrow-body part)</t>
        </is>
      </c>
      <c r="Z12" s="10">
        <f>IF(ISNUMBER(J12),IF(J12&gt;=100*C12,1,0),0)+IF(ISNUMBER(R12),IF(R12&gt;=100*C12,1,0),0)+IF(ISNUMBER(W12),IF(W12&gt;=100*C12,1,0),0)</f>
        <v/>
      </c>
    </row>
    <row r="13">
      <c r="A13" s="10" t="n">
        <v>84</v>
      </c>
      <c r="B13" s="11" t="inlineStr">
        <is>
          <t>U1</t>
        </is>
      </c>
      <c r="C13" s="10" t="n">
        <v>1</v>
      </c>
      <c r="D13" s="11" t="inlineStr">
        <is>
          <t>STM32G474RBT3 (hand-soldered)</t>
        </is>
      </c>
      <c r="E13" s="11" t="inlineStr">
        <is>
          <t>LQFP-64_10x10mm_P0.5mm</t>
        </is>
      </c>
      <c r="F13" s="11" t="inlineStr">
        <is>
          <t>Standard (LQFP-64)</t>
        </is>
      </c>
      <c r="G13" s="10" t="inlineStr">
        <is>
          <t>STM32G474RBT3</t>
        </is>
      </c>
      <c r="H13" s="10" t="inlineStr">
        <is>
          <t>ST</t>
        </is>
      </c>
      <c r="I13" s="10" t="inlineStr">
        <is>
          <t>C1235414</t>
        </is>
      </c>
      <c r="J13" s="12" t="n">
        <v>564</v>
      </c>
      <c r="K13" s="12">
        <f>IF(ISNUMBER(J13),INT(J13/C13),0)</f>
        <v/>
      </c>
      <c r="L13" s="13" t="n">
        <v>2.9236</v>
      </c>
      <c r="M13" s="16" t="inlineStr">
        <is>
          <t>MEDIUM</t>
        </is>
      </c>
      <c r="N13" s="11" t="inlineStr">
        <is>
          <t>Primary covers the build; alternates thin - watch.</t>
        </is>
      </c>
      <c r="O13" s="11" t="inlineStr"/>
      <c r="P13" s="11" t="inlineStr">
        <is>
          <t>STM32G474RET6 (ST)</t>
        </is>
      </c>
      <c r="Q13" s="10" t="inlineStr">
        <is>
          <t>C521608</t>
        </is>
      </c>
      <c r="R13" s="12" t="n">
        <v>12</v>
      </c>
      <c r="S13" s="15" t="inlineStr">
        <is>
          <t>EQ</t>
        </is>
      </c>
      <c r="T13" s="11" t="inlineStr">
        <is>
          <t>ST STM32G474RET6 (512 KB, same pinout; 12 pcs)</t>
        </is>
      </c>
      <c r="U13" s="11" t="inlineStr"/>
      <c r="V13" s="10" t="inlineStr"/>
      <c r="W13" s="12" t="n"/>
      <c r="X13" s="18" t="inlineStr"/>
      <c r="Y13" s="11" t="inlineStr">
        <is>
          <t>none in stock on LCSC</t>
        </is>
      </c>
      <c r="Z13" s="10">
        <f>IF(ISNUMBER(J13),IF(J13&gt;=100*C13,1,0),0)+IF(ISNUMBER(R13),IF(R13&gt;=100*C13,1,0),0)+IF(ISNUMBER(W13),IF(W13&gt;=100*C13,1,0),0)</f>
        <v/>
      </c>
    </row>
    <row r="14">
      <c r="A14" s="10" t="n">
        <v>89</v>
      </c>
      <c r="B14" s="11" t="inlineStr">
        <is>
          <t>J7</t>
        </is>
      </c>
      <c r="C14" s="10" t="n">
        <v>1</v>
      </c>
      <c r="D14" s="11" t="inlineStr">
        <is>
          <t>HX PZ1.27-2x5P TP (hand-soldered)</t>
        </is>
      </c>
      <c r="E14" s="11" t="inlineStr">
        <is>
          <t>PinHeader_2x05_P1.27mm_Vertical_SMD</t>
        </is>
      </c>
      <c r="F14" s="11" t="inlineStr">
        <is>
          <t>Standard (1.27 SMD header)</t>
        </is>
      </c>
      <c r="G14" s="10" t="inlineStr">
        <is>
          <t>HX PZ1.27-2x5P TP</t>
        </is>
      </c>
      <c r="H14" s="10" t="inlineStr">
        <is>
          <t>hanxia</t>
        </is>
      </c>
      <c r="I14" s="10" t="inlineStr">
        <is>
          <t>C41376037</t>
        </is>
      </c>
      <c r="J14" s="12" t="n">
        <v>40345</v>
      </c>
      <c r="K14" s="12">
        <f>IF(ISNUMBER(J14),INT(J14/C14),0)</f>
        <v/>
      </c>
      <c r="L14" s="13" t="n"/>
      <c r="M14" s="16" t="inlineStr">
        <is>
          <t>MEDIUM</t>
        </is>
      </c>
      <c r="N14" s="11" t="inlineStr">
        <is>
          <t>Primary covers the build; alternates thin - watch.</t>
        </is>
      </c>
      <c r="O14" s="11" t="inlineStr"/>
      <c r="P14" s="11" t="inlineStr"/>
      <c r="Q14" s="10" t="inlineStr"/>
      <c r="R14" s="12" t="n"/>
      <c r="S14" s="18" t="inlineStr"/>
      <c r="T14" s="11" t="inlineStr">
        <is>
          <t>Samtec FTSH-105-01-L-DV-K or any 2x5 1.27 mm SMD header</t>
        </is>
      </c>
      <c r="U14" s="11" t="inlineStr"/>
      <c r="V14" s="10" t="inlineStr"/>
      <c r="W14" s="12" t="n"/>
      <c r="X14" s="18" t="inlineStr"/>
      <c r="Y14" s="11" t="inlineStr">
        <is>
          <t>none in stock on LCSC</t>
        </is>
      </c>
      <c r="Z14" s="10">
        <f>IF(ISNUMBER(J14),IF(J14&gt;=100*C14,1,0),0)+IF(ISNUMBER(R14),IF(R14&gt;=100*C14,1,0),0)+IF(ISNUMBER(W14),IF(W14&gt;=100*C14,1,0),0)</f>
        <v/>
      </c>
    </row>
    <row r="15">
      <c r="A15" s="10" t="n">
        <v>2</v>
      </c>
      <c r="B15" s="11" t="inlineStr">
        <is>
          <t>C2,C3,C4,C5,C7,C8,C9,C10,C61,C62,C63,C70,C95</t>
        </is>
      </c>
      <c r="C15" s="10" t="n">
        <v>13</v>
      </c>
      <c r="D15" s="11" t="inlineStr">
        <is>
          <t>2.2u 100V X7R</t>
        </is>
      </c>
      <c r="E15" s="11" t="inlineStr">
        <is>
          <t>C_1210_3225Metric</t>
        </is>
      </c>
      <c r="F15" s="11" t="inlineStr">
        <is>
          <t>Standard (1210)</t>
        </is>
      </c>
      <c r="G15" s="10" t="inlineStr">
        <is>
          <t>FS32X225K101EGG</t>
        </is>
      </c>
      <c r="H15" s="10" t="inlineStr">
        <is>
          <t>PSA</t>
        </is>
      </c>
      <c r="I15" s="10" t="inlineStr">
        <is>
          <t>C153036</t>
        </is>
      </c>
      <c r="J15" s="12" t="n">
        <v>261555</v>
      </c>
      <c r="K15" s="12">
        <f>IF(ISNUMBER(J15),INT(J15/C15),0)</f>
        <v/>
      </c>
      <c r="L15" s="13" t="n">
        <v>0.0476</v>
      </c>
      <c r="M15" s="17" t="inlineStr">
        <is>
          <t>LOW</t>
        </is>
      </c>
      <c r="N15" s="11" t="inlineStr">
        <is>
          <t>Stock fine; 2nd/3rd checked.</t>
        </is>
      </c>
      <c r="O15" s="11" t="inlineStr"/>
      <c r="P15" s="11" t="inlineStr">
        <is>
          <t>GRM32ER72A225KA35L (muRata)</t>
        </is>
      </c>
      <c r="Q15" s="10" t="inlineStr">
        <is>
          <t>C86054</t>
        </is>
      </c>
      <c r="R15" s="12" t="n">
        <v>25205</v>
      </c>
      <c r="S15" s="15" t="inlineStr">
        <is>
          <t>EQ</t>
        </is>
      </c>
      <c r="T15" s="11" t="inlineStr">
        <is>
          <t>Murata GRM32ER72A225KA35L 2.2 uF 100 V X7R 1210</t>
        </is>
      </c>
      <c r="U15" s="11" t="inlineStr">
        <is>
          <t>HMK325B7225KN-T (Taiyo Yuden)</t>
        </is>
      </c>
      <c r="V15" s="10" t="inlineStr">
        <is>
          <t>C92775</t>
        </is>
      </c>
      <c r="W15" s="12" t="n">
        <v>30780</v>
      </c>
      <c r="X15" s="15" t="inlineStr">
        <is>
          <t>EQ</t>
        </is>
      </c>
      <c r="Y15" s="11" t="inlineStr">
        <is>
          <t>Taiyo Yuden HMK325B7225KN-T 2.2 uF 100 V X7R 1210</t>
        </is>
      </c>
      <c r="Z15" s="10">
        <f>IF(ISNUMBER(J15),IF(J15&gt;=100*C15,1,0),0)+IF(ISNUMBER(R15),IF(R15&gt;=100*C15,1,0),0)+IF(ISNUMBER(W15),IF(W15&gt;=100*C15,1,0),0)</f>
        <v/>
      </c>
    </row>
    <row r="16">
      <c r="A16" s="10" t="n">
        <v>3</v>
      </c>
      <c r="B16" s="11" t="inlineStr">
        <is>
          <t>C6,C12</t>
        </is>
      </c>
      <c r="C16" s="10" t="n">
        <v>2</v>
      </c>
      <c r="D16" s="11" t="inlineStr">
        <is>
          <t>100n 100V X7R</t>
        </is>
      </c>
      <c r="E16" s="11" t="inlineStr">
        <is>
          <t>C_0603_1608Metric</t>
        </is>
      </c>
      <c r="F16" s="11" t="inlineStr">
        <is>
          <t>Standard (0603)</t>
        </is>
      </c>
      <c r="G16" s="10" t="inlineStr">
        <is>
          <t>0603B104K101NT</t>
        </is>
      </c>
      <c r="H16" s="10" t="inlineStr">
        <is>
          <t>FH</t>
        </is>
      </c>
      <c r="I16" s="10" t="inlineStr">
        <is>
          <t>C88219</t>
        </is>
      </c>
      <c r="J16" s="12" t="n">
        <v>1977150</v>
      </c>
      <c r="K16" s="12">
        <f>IF(ISNUMBER(J16),INT(J16/C16),0)</f>
        <v/>
      </c>
      <c r="L16" s="13" t="n">
        <v>0.0058</v>
      </c>
      <c r="M16" s="17" t="inlineStr">
        <is>
          <t>LOW</t>
        </is>
      </c>
      <c r="N16" s="11" t="inlineStr">
        <is>
          <t>Stock fine; 2nd/3rd checked.</t>
        </is>
      </c>
      <c r="O16" s="11" t="inlineStr"/>
      <c r="P16" s="11" t="inlineStr">
        <is>
          <t>CC0603KRX7R0BB104 (YAGEO)</t>
        </is>
      </c>
      <c r="Q16" s="10" t="inlineStr">
        <is>
          <t>C113803</t>
        </is>
      </c>
      <c r="R16" s="12" t="n">
        <v>328150</v>
      </c>
      <c r="S16" s="15" t="inlineStr">
        <is>
          <t>EQ</t>
        </is>
      </c>
      <c r="T16" s="11" t="inlineStr">
        <is>
          <t>Yageo CC0603KRX7R0BB104 100 V X7R</t>
        </is>
      </c>
      <c r="U16" s="11" t="inlineStr">
        <is>
          <t>AM03B104K101NT (FH)</t>
        </is>
      </c>
      <c r="V16" s="10" t="inlineStr">
        <is>
          <t>C42959888</t>
        </is>
      </c>
      <c r="W16" s="12" t="n">
        <v>4980</v>
      </c>
      <c r="X16" s="15" t="inlineStr">
        <is>
          <t>EQ</t>
        </is>
      </c>
      <c r="Y16" s="11" t="inlineStr">
        <is>
          <t>FH AM03B104K101NT 100 V X7R</t>
        </is>
      </c>
      <c r="Z16" s="10">
        <f>IF(ISNUMBER(J16),IF(J16&gt;=100*C16,1,0),0)+IF(ISNUMBER(R16),IF(R16&gt;=100*C16,1,0),0)+IF(ISNUMBER(W16),IF(W16&gt;=100*C16,1,0),0)</f>
        <v/>
      </c>
    </row>
    <row r="17">
      <c r="A17" s="10" t="n">
        <v>4</v>
      </c>
      <c r="B17" s="11" t="inlineStr">
        <is>
          <t>C15,C18,C67</t>
        </is>
      </c>
      <c r="C17" s="10" t="n">
        <v>3</v>
      </c>
      <c r="D17" s="11" t="inlineStr">
        <is>
          <t>100n 25V X7R</t>
        </is>
      </c>
      <c r="E17" s="11" t="inlineStr">
        <is>
          <t>C_0603_1608Metric</t>
        </is>
      </c>
      <c r="F17" s="11" t="inlineStr">
        <is>
          <t>Standard (0603)</t>
        </is>
      </c>
      <c r="G17" s="10" t="inlineStr">
        <is>
          <t>CC0603KRX7R9BB104</t>
        </is>
      </c>
      <c r="H17" s="10" t="inlineStr">
        <is>
          <t>YAGEO</t>
        </is>
      </c>
      <c r="I17" s="10" t="inlineStr">
        <is>
          <t>C14663</t>
        </is>
      </c>
      <c r="J17" s="12" t="n">
        <v>6739100</v>
      </c>
      <c r="K17" s="12">
        <f>IF(ISNUMBER(J17),INT(J17/C17),0)</f>
        <v/>
      </c>
      <c r="L17" s="13" t="n">
        <v>0.0067</v>
      </c>
      <c r="M17" s="17" t="inlineStr">
        <is>
          <t>LOW</t>
        </is>
      </c>
      <c r="N17" s="11" t="inlineStr">
        <is>
          <t>Stock fine; 2nd/3rd checked.</t>
        </is>
      </c>
      <c r="O17" s="11" t="inlineStr"/>
      <c r="P17" s="11" t="inlineStr">
        <is>
          <t>0603B104K500CT (Walsin)</t>
        </is>
      </c>
      <c r="Q17" s="10" t="inlineStr">
        <is>
          <t>C314282</t>
        </is>
      </c>
      <c r="R17" s="12" t="n">
        <v>835700</v>
      </c>
      <c r="S17" s="15" t="inlineStr">
        <is>
          <t>EQ</t>
        </is>
      </c>
      <c r="T17" s="11" t="inlineStr">
        <is>
          <t>Walsin 0603B104K500CT 50 V X7R</t>
        </is>
      </c>
      <c r="U17" s="11" t="inlineStr">
        <is>
          <t>VJ0603Y104KXACW1BC (VISHAY)</t>
        </is>
      </c>
      <c r="V17" s="10" t="inlineStr">
        <is>
          <t>C161854</t>
        </is>
      </c>
      <c r="W17" s="12" t="n">
        <v>13120</v>
      </c>
      <c r="X17" s="15" t="inlineStr">
        <is>
          <t>EQ</t>
        </is>
      </c>
      <c r="Y17" s="11" t="inlineStr">
        <is>
          <t>Vishay VJ0603Y104KXACW1BC 50 V X7R</t>
        </is>
      </c>
      <c r="Z17" s="10">
        <f>IF(ISNUMBER(J17),IF(J17&gt;=100*C17,1,0),0)+IF(ISNUMBER(R17),IF(R17&gt;=100*C17,1,0),0)+IF(ISNUMBER(W17),IF(W17&gt;=100*C17,1,0),0)</f>
        <v/>
      </c>
    </row>
    <row r="18">
      <c r="A18" s="10" t="n">
        <v>5</v>
      </c>
      <c r="B18" s="11" t="inlineStr">
        <is>
          <t>C16,C19,C68,C69,C88</t>
        </is>
      </c>
      <c r="C18" s="10" t="n">
        <v>5</v>
      </c>
      <c r="D18" s="11" t="inlineStr">
        <is>
          <t>1u 25V X7R</t>
        </is>
      </c>
      <c r="E18" s="11" t="inlineStr">
        <is>
          <t>C_0603_1608Metric</t>
        </is>
      </c>
      <c r="F18" s="11" t="inlineStr">
        <is>
          <t>Standard (0603)</t>
        </is>
      </c>
      <c r="G18" s="10" t="inlineStr">
        <is>
          <t>CL10A105KB8NNNC</t>
        </is>
      </c>
      <c r="H18" s="10" t="inlineStr">
        <is>
          <t>Samsung Electro-Mechanics</t>
        </is>
      </c>
      <c r="I18" s="10" t="inlineStr">
        <is>
          <t>C15849</t>
        </is>
      </c>
      <c r="J18" s="12" t="n">
        <v>2731000</v>
      </c>
      <c r="K18" s="12">
        <f>IF(ISNUMBER(J18),INT(J18/C18),0)</f>
        <v/>
      </c>
      <c r="L18" s="13" t="n">
        <v>0.008699999999999999</v>
      </c>
      <c r="M18" s="17" t="inlineStr">
        <is>
          <t>LOW</t>
        </is>
      </c>
      <c r="N18" s="11" t="inlineStr">
        <is>
          <t>Stock fine; 2nd/3rd checked.</t>
        </is>
      </c>
      <c r="O18" s="11" t="inlineStr"/>
      <c r="P18" s="11" t="inlineStr">
        <is>
          <t>0603X105K500NT (FH)</t>
        </is>
      </c>
      <c r="Q18" s="10" t="inlineStr">
        <is>
          <t>C157684</t>
        </is>
      </c>
      <c r="R18" s="12" t="n">
        <v>774900</v>
      </c>
      <c r="S18" s="15" t="inlineStr">
        <is>
          <t>EQ</t>
        </is>
      </c>
      <c r="T18" s="11" t="inlineStr">
        <is>
          <t>FH 0603X105K500NT 1 uF 50 V X5R</t>
        </is>
      </c>
      <c r="U18" s="11" t="inlineStr">
        <is>
          <t>CC0603KRX5R9BB105 (YAGEO)</t>
        </is>
      </c>
      <c r="V18" s="10" t="inlineStr">
        <is>
          <t>C128624</t>
        </is>
      </c>
      <c r="W18" s="12" t="n">
        <v>23100</v>
      </c>
      <c r="X18" s="15" t="inlineStr">
        <is>
          <t>EQ</t>
        </is>
      </c>
      <c r="Y18" s="11" t="inlineStr">
        <is>
          <t>Yageo CC0603KRX5R9BB105 1 uF 50 V X5R</t>
        </is>
      </c>
      <c r="Z18" s="10">
        <f>IF(ISNUMBER(J18),IF(J18&gt;=100*C18,1,0),0)+IF(ISNUMBER(R18),IF(R18&gt;=100*C18,1,0),0)+IF(ISNUMBER(W18),IF(W18&gt;=100*C18,1,0),0)</f>
        <v/>
      </c>
    </row>
    <row r="19">
      <c r="A19" s="10" t="n">
        <v>6</v>
      </c>
      <c r="B19" s="11" t="inlineStr">
        <is>
          <t>C17,C20,C22,C23,C71,C89,C29,C30,C31,C32,C33,C34,C37,C40,C43,C44,C46,C48,C50,C53,C54,C75,C77,C80,C83,C84,C90,C99</t>
        </is>
      </c>
      <c r="C19" s="10" t="n">
        <v>28</v>
      </c>
      <c r="D19" s="11" t="inlineStr">
        <is>
          <t>100n 25V</t>
        </is>
      </c>
      <c r="E19" s="11" t="inlineStr">
        <is>
          <t>C_0402_1005Metric</t>
        </is>
      </c>
      <c r="F19" s="11" t="inlineStr">
        <is>
          <t>Standard (0402)</t>
        </is>
      </c>
      <c r="G19" s="10" t="inlineStr">
        <is>
          <t>CL05B104KB54PNC</t>
        </is>
      </c>
      <c r="H19" s="10" t="inlineStr">
        <is>
          <t>Samsung Electro-Mechanics</t>
        </is>
      </c>
      <c r="I19" s="10" t="inlineStr">
        <is>
          <t>C307331</t>
        </is>
      </c>
      <c r="J19" s="12" t="n">
        <v>2343800</v>
      </c>
      <c r="K19" s="12">
        <f>IF(ISNUMBER(J19),INT(J19/C19),0)</f>
        <v/>
      </c>
      <c r="L19" s="13" t="n">
        <v>0.0049</v>
      </c>
      <c r="M19" s="17" t="inlineStr">
        <is>
          <t>LOW</t>
        </is>
      </c>
      <c r="N19" s="11" t="inlineStr">
        <is>
          <t>Stock fine; 2nd/3rd checked.</t>
        </is>
      </c>
      <c r="O19" s="11" t="inlineStr"/>
      <c r="P19" s="11" t="inlineStr">
        <is>
          <t>CC0402KRX7R9BB104 (YAGEO)</t>
        </is>
      </c>
      <c r="Q19" s="10" t="inlineStr">
        <is>
          <t>C131394</t>
        </is>
      </c>
      <c r="R19" s="12" t="n">
        <v>4590850</v>
      </c>
      <c r="S19" s="15" t="inlineStr">
        <is>
          <t>EQ</t>
        </is>
      </c>
      <c r="T19" s="11" t="inlineStr">
        <is>
          <t>Yageo CC0402KRX7R9BB104 50 V X7R</t>
        </is>
      </c>
      <c r="U19" s="11" t="inlineStr">
        <is>
          <t>0402B104K500NT (FH)</t>
        </is>
      </c>
      <c r="V19" s="10" t="inlineStr">
        <is>
          <t>C110251</t>
        </is>
      </c>
      <c r="W19" s="12" t="n">
        <v>1825760</v>
      </c>
      <c r="X19" s="15" t="inlineStr">
        <is>
          <t>EQ</t>
        </is>
      </c>
      <c r="Y19" s="11" t="inlineStr">
        <is>
          <t>FH 0402B104K500NT 50 V X7R</t>
        </is>
      </c>
      <c r="Z19" s="10">
        <f>IF(ISNUMBER(J19),IF(J19&gt;=100*C19,1,0),0)+IF(ISNUMBER(R19),IF(R19&gt;=100*C19,1,0),0)+IF(ISNUMBER(W19),IF(W19&gt;=100*C19,1,0),0)</f>
        <v/>
      </c>
    </row>
    <row r="20">
      <c r="A20" s="10" t="n">
        <v>7</v>
      </c>
      <c r="B20" s="11" t="inlineStr">
        <is>
          <t>C21,C24,C25,C26,C72,C96,C97,C49,C52</t>
        </is>
      </c>
      <c r="C20" s="10" t="n">
        <v>9</v>
      </c>
      <c r="D20" s="11" t="inlineStr">
        <is>
          <t>10u 25V X5R</t>
        </is>
      </c>
      <c r="E20" s="11" t="inlineStr">
        <is>
          <t>C_0805_2012Metric</t>
        </is>
      </c>
      <c r="F20" s="11" t="inlineStr">
        <is>
          <t>Standard (0805)</t>
        </is>
      </c>
      <c r="G20" s="10" t="inlineStr">
        <is>
          <t>CL21A106KAYNNNE</t>
        </is>
      </c>
      <c r="H20" s="10" t="inlineStr">
        <is>
          <t>Samsung Electro-Mechanics</t>
        </is>
      </c>
      <c r="I20" s="10" t="inlineStr">
        <is>
          <t>C15850</t>
        </is>
      </c>
      <c r="J20" s="12" t="n">
        <v>3082660</v>
      </c>
      <c r="K20" s="12">
        <f>IF(ISNUMBER(J20),INT(J20/C20),0)</f>
        <v/>
      </c>
      <c r="L20" s="13" t="n">
        <v>0.0528</v>
      </c>
      <c r="M20" s="17" t="inlineStr">
        <is>
          <t>LOW</t>
        </is>
      </c>
      <c r="N20" s="11" t="inlineStr">
        <is>
          <t>Stock fine; 2nd/3rd checked.</t>
        </is>
      </c>
      <c r="O20" s="11" t="inlineStr"/>
      <c r="P20" s="11" t="inlineStr">
        <is>
          <t>TCC0805X5R106K350FT (CCTC)</t>
        </is>
      </c>
      <c r="Q20" s="10" t="inlineStr">
        <is>
          <t>C18185754</t>
        </is>
      </c>
      <c r="R20" s="12" t="n">
        <v>100165</v>
      </c>
      <c r="S20" s="15" t="inlineStr">
        <is>
          <t>EQ</t>
        </is>
      </c>
      <c r="T20" s="11" t="inlineStr">
        <is>
          <t>CCTC TCC0805X5R106K350FT 10 uF 35 V X5R</t>
        </is>
      </c>
      <c r="U20" s="11" t="inlineStr">
        <is>
          <t>GRM21BR6YA106KE43L (muRata)</t>
        </is>
      </c>
      <c r="V20" s="10" t="inlineStr">
        <is>
          <t>C162422</t>
        </is>
      </c>
      <c r="W20" s="12" t="n">
        <v>99525</v>
      </c>
      <c r="X20" s="15" t="inlineStr">
        <is>
          <t>EQ</t>
        </is>
      </c>
      <c r="Y20" s="11" t="inlineStr">
        <is>
          <t>Murata GRM21BR6YA106KE43L 10 uF 35 V X5R</t>
        </is>
      </c>
      <c r="Z20" s="10">
        <f>IF(ISNUMBER(J20),IF(J20&gt;=100*C20,1,0),0)+IF(ISNUMBER(R20),IF(R20&gt;=100*C20,1,0),0)+IF(ISNUMBER(W20),IF(W20&gt;=100*C20,1,0),0)</f>
        <v/>
      </c>
    </row>
    <row r="21">
      <c r="A21" s="10" t="n">
        <v>8</v>
      </c>
      <c r="B21" s="11" t="inlineStr">
        <is>
          <t>C27,C73</t>
        </is>
      </c>
      <c r="C21" s="10" t="n">
        <v>2</v>
      </c>
      <c r="D21" s="11" t="inlineStr">
        <is>
          <t>22u 10V X5R</t>
        </is>
      </c>
      <c r="E21" s="11" t="inlineStr">
        <is>
          <t>C_0805_2012Metric</t>
        </is>
      </c>
      <c r="F21" s="11" t="inlineStr">
        <is>
          <t>Standard (0805)</t>
        </is>
      </c>
      <c r="G21" s="10" t="inlineStr">
        <is>
          <t>CL21A226MAQNNNE</t>
        </is>
      </c>
      <c r="H21" s="10" t="inlineStr">
        <is>
          <t>Samsung Electro-Mechanics</t>
        </is>
      </c>
      <c r="I21" s="10" t="inlineStr">
        <is>
          <t>C45783</t>
        </is>
      </c>
      <c r="J21" s="12" t="n">
        <v>100080</v>
      </c>
      <c r="K21" s="12">
        <f>IF(ISNUMBER(J21),INT(J21/C21),0)</f>
        <v/>
      </c>
      <c r="L21" s="13" t="n">
        <v>0.1061</v>
      </c>
      <c r="M21" s="17" t="inlineStr">
        <is>
          <t>LOW</t>
        </is>
      </c>
      <c r="N21" s="11" t="inlineStr">
        <is>
          <t>Stock fine; 2nd/3rd checked.</t>
        </is>
      </c>
      <c r="O21" s="11" t="inlineStr"/>
      <c r="P21" s="11" t="inlineStr">
        <is>
          <t>TCC0805X5R226M250FT (CCTC)</t>
        </is>
      </c>
      <c r="Q21" s="10" t="inlineStr">
        <is>
          <t>C20416420</t>
        </is>
      </c>
      <c r="R21" s="12" t="n">
        <v>131690</v>
      </c>
      <c r="S21" s="15" t="inlineStr">
        <is>
          <t>EQ</t>
        </is>
      </c>
      <c r="T21" s="11" t="inlineStr">
        <is>
          <t>CCTC TCC0805X5R226M250FT 22 uF 25 V</t>
        </is>
      </c>
      <c r="U21" s="11" t="inlineStr">
        <is>
          <t>0805X226M250NT (FH)</t>
        </is>
      </c>
      <c r="V21" s="10" t="inlineStr">
        <is>
          <t>C129303</t>
        </is>
      </c>
      <c r="W21" s="12" t="n">
        <v>85780</v>
      </c>
      <c r="X21" s="15" t="inlineStr">
        <is>
          <t>EQ</t>
        </is>
      </c>
      <c r="Y21" s="11" t="inlineStr">
        <is>
          <t>FH 0805X226M250NT 22 uF 25 V</t>
        </is>
      </c>
      <c r="Z21" s="10">
        <f>IF(ISNUMBER(J21),IF(J21&gt;=100*C21,1,0),0)+IF(ISNUMBER(R21),IF(R21&gt;=100*C21,1,0),0)+IF(ISNUMBER(W21),IF(W21&gt;=100*C21,1,0),0)</f>
        <v/>
      </c>
    </row>
    <row r="22">
      <c r="A22" s="10" t="n">
        <v>9</v>
      </c>
      <c r="B22" s="11" t="inlineStr">
        <is>
          <t>C28,C36,C51,C86</t>
        </is>
      </c>
      <c r="C22" s="10" t="n">
        <v>4</v>
      </c>
      <c r="D22" s="11" t="inlineStr">
        <is>
          <t>1u 10V</t>
        </is>
      </c>
      <c r="E22" s="11" t="inlineStr">
        <is>
          <t>C_0402_1005Metric</t>
        </is>
      </c>
      <c r="F22" s="11" t="inlineStr">
        <is>
          <t>Standard (0402)</t>
        </is>
      </c>
      <c r="G22" s="10" t="inlineStr">
        <is>
          <t>TCC0402X5R105K500AT</t>
        </is>
      </c>
      <c r="H22" s="10" t="inlineStr">
        <is>
          <t>CCTC</t>
        </is>
      </c>
      <c r="I22" s="10" t="inlineStr">
        <is>
          <t>C20539426</t>
        </is>
      </c>
      <c r="J22" s="12" t="n">
        <v>179400</v>
      </c>
      <c r="K22" s="12">
        <f>IF(ISNUMBER(J22),INT(J22/C22),0)</f>
        <v/>
      </c>
      <c r="L22" s="13" t="n">
        <v>0.009900000000000001</v>
      </c>
      <c r="M22" s="17" t="inlineStr">
        <is>
          <t>LOW</t>
        </is>
      </c>
      <c r="N22" s="11" t="inlineStr">
        <is>
          <t>Stock fine; 2nd/3rd checked.</t>
        </is>
      </c>
      <c r="O22" s="11" t="inlineStr"/>
      <c r="P22" s="11" t="inlineStr">
        <is>
          <t>GRM155R61H105KE05D (muRata)</t>
        </is>
      </c>
      <c r="Q22" s="10" t="inlineStr">
        <is>
          <t>C1518208</t>
        </is>
      </c>
      <c r="R22" s="12" t="n">
        <v>32180</v>
      </c>
      <c r="S22" s="15" t="inlineStr">
        <is>
          <t>EQ</t>
        </is>
      </c>
      <c r="T22" s="11" t="inlineStr">
        <is>
          <t>Murata GRM155R61H105KE05D 1 uF 50 V X5R</t>
        </is>
      </c>
      <c r="U22" s="11" t="inlineStr"/>
      <c r="V22" s="10" t="inlineStr"/>
      <c r="W22" s="12" t="n"/>
      <c r="X22" s="18" t="inlineStr"/>
      <c r="Y22" s="11" t="inlineStr">
        <is>
          <t>none in stock on LCSC</t>
        </is>
      </c>
      <c r="Z22" s="10">
        <f>IF(ISNUMBER(J22),IF(J22&gt;=100*C22,1,0),0)+IF(ISNUMBER(R22),IF(R22&gt;=100*C22,1,0),0)+IF(ISNUMBER(W22),IF(W22&gt;=100*C22,1,0),0)</f>
        <v/>
      </c>
    </row>
    <row r="23">
      <c r="A23" s="10" t="n">
        <v>10</v>
      </c>
      <c r="B23" s="11" t="inlineStr">
        <is>
          <t>C35</t>
        </is>
      </c>
      <c r="C23" s="10" t="n">
        <v>1</v>
      </c>
      <c r="D23" s="11" t="inlineStr">
        <is>
          <t>4.7u 10V</t>
        </is>
      </c>
      <c r="E23" s="11" t="inlineStr">
        <is>
          <t>C_0603_1608Metric</t>
        </is>
      </c>
      <c r="F23" s="11" t="inlineStr">
        <is>
          <t>Standard (0603)</t>
        </is>
      </c>
      <c r="G23" s="10" t="inlineStr">
        <is>
          <t>CL10A475KO8NNNC</t>
        </is>
      </c>
      <c r="H23" s="10" t="inlineStr">
        <is>
          <t>Samsung Electro-Mechanics</t>
        </is>
      </c>
      <c r="I23" s="10" t="inlineStr">
        <is>
          <t>C19666</t>
        </is>
      </c>
      <c r="J23" s="12" t="n">
        <v>584680</v>
      </c>
      <c r="K23" s="12">
        <f>IF(ISNUMBER(J23),INT(J23/C23),0)</f>
        <v/>
      </c>
      <c r="L23" s="13" t="n">
        <v>0.0114</v>
      </c>
      <c r="M23" s="17" t="inlineStr">
        <is>
          <t>LOW</t>
        </is>
      </c>
      <c r="N23" s="11" t="inlineStr">
        <is>
          <t>Stock fine; 2nd/3rd checked.</t>
        </is>
      </c>
      <c r="O23" s="11" t="inlineStr"/>
      <c r="P23" s="11" t="inlineStr">
        <is>
          <t>EMK107ABJ475KA-T (Taiyo Yuden)</t>
        </is>
      </c>
      <c r="Q23" s="10" t="inlineStr">
        <is>
          <t>C92758</t>
        </is>
      </c>
      <c r="R23" s="12" t="n">
        <v>157460</v>
      </c>
      <c r="S23" s="15" t="inlineStr">
        <is>
          <t>EQ</t>
        </is>
      </c>
      <c r="T23" s="11" t="inlineStr">
        <is>
          <t>Taiyo Yuden EMK107ABJ475KA-T 16 V X5R</t>
        </is>
      </c>
      <c r="U23" s="11" t="inlineStr">
        <is>
          <t>GRM188R61E475KE11D (muRata)</t>
        </is>
      </c>
      <c r="V23" s="10" t="inlineStr">
        <is>
          <t>C90057</t>
        </is>
      </c>
      <c r="W23" s="12" t="n">
        <v>106410</v>
      </c>
      <c r="X23" s="15" t="inlineStr">
        <is>
          <t>EQ</t>
        </is>
      </c>
      <c r="Y23" s="11" t="inlineStr">
        <is>
          <t>Murata GRM188R61E475KE11D 25 V X5R</t>
        </is>
      </c>
      <c r="Z23" s="10">
        <f>IF(ISNUMBER(J23),IF(J23&gt;=100*C23,1,0),0)+IF(ISNUMBER(R23),IF(R23&gt;=100*C23,1,0),0)+IF(ISNUMBER(W23),IF(W23&gt;=100*C23,1,0),0)</f>
        <v/>
      </c>
    </row>
    <row r="24">
      <c r="A24" s="10" t="n">
        <v>11</v>
      </c>
      <c r="B24" s="11" t="inlineStr">
        <is>
          <t>C38,C39</t>
        </is>
      </c>
      <c r="C24" s="10" t="n">
        <v>2</v>
      </c>
      <c r="D24" s="11" t="inlineStr">
        <is>
          <t>12p C0G</t>
        </is>
      </c>
      <c r="E24" s="11" t="inlineStr">
        <is>
          <t>C_0402_1005Metric</t>
        </is>
      </c>
      <c r="F24" s="11" t="inlineStr">
        <is>
          <t>Standard (0402)</t>
        </is>
      </c>
      <c r="G24" s="10" t="inlineStr">
        <is>
          <t>0402CG120J500NT</t>
        </is>
      </c>
      <c r="H24" s="10" t="inlineStr">
        <is>
          <t>FH</t>
        </is>
      </c>
      <c r="I24" s="10" t="inlineStr">
        <is>
          <t>C1547</t>
        </is>
      </c>
      <c r="J24" s="12" t="n">
        <v>1236600</v>
      </c>
      <c r="K24" s="12">
        <f>IF(ISNUMBER(J24),INT(J24/C24),0)</f>
        <v/>
      </c>
      <c r="L24" s="13" t="n">
        <v>0.0013</v>
      </c>
      <c r="M24" s="17" t="inlineStr">
        <is>
          <t>LOW</t>
        </is>
      </c>
      <c r="N24" s="11" t="inlineStr">
        <is>
          <t>Stock fine; 2nd/3rd checked.</t>
        </is>
      </c>
      <c r="O24" s="11" t="inlineStr"/>
      <c r="P24" s="11" t="inlineStr">
        <is>
          <t>0402CG120F500NT (FH)</t>
        </is>
      </c>
      <c r="Q24" s="10" t="inlineStr">
        <is>
          <t>C182477</t>
        </is>
      </c>
      <c r="R24" s="12" t="n">
        <v>145100</v>
      </c>
      <c r="S24" s="15" t="inlineStr">
        <is>
          <t>EQ</t>
        </is>
      </c>
      <c r="T24" s="11" t="inlineStr">
        <is>
          <t>FH 0402CG120F500NT 12 pF C0G 1 %</t>
        </is>
      </c>
      <c r="U24" s="11" t="inlineStr">
        <is>
          <t>AM02CG120J500NT (FH)</t>
        </is>
      </c>
      <c r="V24" s="10" t="inlineStr">
        <is>
          <t>C49238110</t>
        </is>
      </c>
      <c r="W24" s="12" t="n">
        <v>6900</v>
      </c>
      <c r="X24" s="15" t="inlineStr">
        <is>
          <t>EQ</t>
        </is>
      </c>
      <c r="Y24" s="11" t="inlineStr">
        <is>
          <t>FH AM02CG120J500NT 12 pF C0G</t>
        </is>
      </c>
      <c r="Z24" s="10">
        <f>IF(ISNUMBER(J24),IF(J24&gt;=100*C24,1,0),0)+IF(ISNUMBER(R24),IF(R24&gt;=100*C24,1,0),0)+IF(ISNUMBER(W24),IF(W24&gt;=100*C24,1,0),0)</f>
        <v/>
      </c>
    </row>
    <row r="25">
      <c r="A25" s="10" t="n">
        <v>12</v>
      </c>
      <c r="B25" s="11" t="inlineStr">
        <is>
          <t>C41,C42,C79,C91,C92</t>
        </is>
      </c>
      <c r="C25" s="10" t="n">
        <v>5</v>
      </c>
      <c r="D25" s="11" t="inlineStr">
        <is>
          <t>1n C0G</t>
        </is>
      </c>
      <c r="E25" s="11" t="inlineStr">
        <is>
          <t>C_0402_1005Metric</t>
        </is>
      </c>
      <c r="F25" s="11" t="inlineStr">
        <is>
          <t>Standard (0402)</t>
        </is>
      </c>
      <c r="G25" s="10" t="inlineStr">
        <is>
          <t>CC0402JRNPO9BN102</t>
        </is>
      </c>
      <c r="H25" s="10" t="inlineStr">
        <is>
          <t>YAGEO</t>
        </is>
      </c>
      <c r="I25" s="10" t="inlineStr">
        <is>
          <t>C113780</t>
        </is>
      </c>
      <c r="J25" s="12" t="n">
        <v>60500</v>
      </c>
      <c r="K25" s="12">
        <f>IF(ISNUMBER(J25),INT(J25/C25),0)</f>
        <v/>
      </c>
      <c r="L25" s="13" t="n">
        <v>0.009599999999999999</v>
      </c>
      <c r="M25" s="17" t="inlineStr">
        <is>
          <t>LOW</t>
        </is>
      </c>
      <c r="N25" s="11" t="inlineStr">
        <is>
          <t>Stock fine; 2nd/3rd checked.</t>
        </is>
      </c>
      <c r="O25" s="11" t="inlineStr"/>
      <c r="P25" s="11" t="inlineStr">
        <is>
          <t>0402N102J500CT (Walsin)</t>
        </is>
      </c>
      <c r="Q25" s="10" t="inlineStr">
        <is>
          <t>C237166</t>
        </is>
      </c>
      <c r="R25" s="12" t="n">
        <v>158300</v>
      </c>
      <c r="S25" s="15" t="inlineStr">
        <is>
          <t>EQ</t>
        </is>
      </c>
      <c r="T25" s="11" t="inlineStr">
        <is>
          <t>Walsin 0402N102J500CT 1 nF NP0</t>
        </is>
      </c>
      <c r="U25" s="11" t="inlineStr">
        <is>
          <t>AC0402JRNPO9BN102 (YAGEO)</t>
        </is>
      </c>
      <c r="V25" s="10" t="inlineStr">
        <is>
          <t>C427014</t>
        </is>
      </c>
      <c r="W25" s="12" t="n">
        <v>12750</v>
      </c>
      <c r="X25" s="15" t="inlineStr">
        <is>
          <t>EQ</t>
        </is>
      </c>
      <c r="Y25" s="11" t="inlineStr">
        <is>
          <t>Yageo AC0402JRNPO9BN102 1 nF NP0</t>
        </is>
      </c>
      <c r="Z25" s="10">
        <f>IF(ISNUMBER(J25),IF(J25&gt;=100*C25,1,0),0)+IF(ISNUMBER(R25),IF(R25&gt;=100*C25,1,0),0)+IF(ISNUMBER(W25),IF(W25&gt;=100*C25,1,0),0)</f>
        <v/>
      </c>
    </row>
    <row r="26">
      <c r="A26" s="10" t="n">
        <v>13</v>
      </c>
      <c r="B26" s="11" t="inlineStr">
        <is>
          <t>C45</t>
        </is>
      </c>
      <c r="C26" s="10" t="n">
        <v>1</v>
      </c>
      <c r="D26" s="11" t="inlineStr">
        <is>
          <t>470p C0G</t>
        </is>
      </c>
      <c r="E26" s="11" t="inlineStr">
        <is>
          <t>C_0402_1005Metric</t>
        </is>
      </c>
      <c r="F26" s="11" t="inlineStr">
        <is>
          <t>Standard (0402)</t>
        </is>
      </c>
      <c r="G26" s="10" t="inlineStr">
        <is>
          <t>CC0402JRNPO9BN471</t>
        </is>
      </c>
      <c r="H26" s="10" t="inlineStr">
        <is>
          <t>YAGEO</t>
        </is>
      </c>
      <c r="I26" s="10" t="inlineStr">
        <is>
          <t>C106259</t>
        </is>
      </c>
      <c r="J26" s="12" t="n">
        <v>349500</v>
      </c>
      <c r="K26" s="12">
        <f>IF(ISNUMBER(J26),INT(J26/C26),0)</f>
        <v/>
      </c>
      <c r="L26" s="13" t="n">
        <v>0.0021</v>
      </c>
      <c r="M26" s="17" t="inlineStr">
        <is>
          <t>LOW</t>
        </is>
      </c>
      <c r="N26" s="11" t="inlineStr">
        <is>
          <t>Stock fine; 2nd/3rd checked.</t>
        </is>
      </c>
      <c r="O26" s="11" t="inlineStr"/>
      <c r="P26" s="11" t="inlineStr">
        <is>
          <t>0402N471J500CT (Walsin)</t>
        </is>
      </c>
      <c r="Q26" s="10" t="inlineStr">
        <is>
          <t>C295986</t>
        </is>
      </c>
      <c r="R26" s="12" t="n">
        <v>74200</v>
      </c>
      <c r="S26" s="15" t="inlineStr">
        <is>
          <t>EQ</t>
        </is>
      </c>
      <c r="T26" s="11" t="inlineStr">
        <is>
          <t>Walsin 0402N471J500CT 470 pF NP0</t>
        </is>
      </c>
      <c r="U26" s="11" t="inlineStr">
        <is>
          <t>CC0402GRNPO9BN471 (YAGEO)</t>
        </is>
      </c>
      <c r="V26" s="10" t="inlineStr">
        <is>
          <t>C541429</t>
        </is>
      </c>
      <c r="W26" s="12" t="n">
        <v>2700</v>
      </c>
      <c r="X26" s="15" t="inlineStr">
        <is>
          <t>EQ</t>
        </is>
      </c>
      <c r="Y26" s="11" t="inlineStr">
        <is>
          <t>Yageo CC0402GRNPO9BN471 470 pF NP0 2 %</t>
        </is>
      </c>
      <c r="Z26" s="10">
        <f>IF(ISNUMBER(J26),IF(J26&gt;=100*C26,1,0),0)+IF(ISNUMBER(R26),IF(R26&gt;=100*C26,1,0),0)+IF(ISNUMBER(W26),IF(W26&gt;=100*C26,1,0),0)</f>
        <v/>
      </c>
    </row>
    <row r="27">
      <c r="A27" s="10" t="n">
        <v>14</v>
      </c>
      <c r="B27" s="11" t="inlineStr">
        <is>
          <t>C47</t>
        </is>
      </c>
      <c r="C27" s="10" t="n">
        <v>1</v>
      </c>
      <c r="D27" s="11" t="inlineStr">
        <is>
          <t>10n C0G</t>
        </is>
      </c>
      <c r="E27" s="11" t="inlineStr">
        <is>
          <t>C_0402_1005Metric</t>
        </is>
      </c>
      <c r="F27" s="11" t="inlineStr">
        <is>
          <t>Standard (0402)</t>
        </is>
      </c>
      <c r="G27" s="10" t="inlineStr">
        <is>
          <t>GRM1555C1H103JE01D</t>
        </is>
      </c>
      <c r="H27" s="10" t="inlineStr">
        <is>
          <t>muRata</t>
        </is>
      </c>
      <c r="I27" s="10" t="inlineStr">
        <is>
          <t>C22400107</t>
        </is>
      </c>
      <c r="J27" s="12" t="n">
        <v>52755</v>
      </c>
      <c r="K27" s="12">
        <f>IF(ISNUMBER(J27),INT(J27/C27),0)</f>
        <v/>
      </c>
      <c r="L27" s="13" t="n">
        <v>0.06</v>
      </c>
      <c r="M27" s="17" t="inlineStr">
        <is>
          <t>LOW</t>
        </is>
      </c>
      <c r="N27" s="11" t="inlineStr">
        <is>
          <t>Stock fine; 2nd/3rd checked.</t>
        </is>
      </c>
      <c r="O27" s="11" t="inlineStr"/>
      <c r="P27" s="11" t="inlineStr">
        <is>
          <t>GRM1555C1E103JE01D (muRata)</t>
        </is>
      </c>
      <c r="Q27" s="10" t="inlineStr">
        <is>
          <t>C3855387</t>
        </is>
      </c>
      <c r="R27" s="12" t="n">
        <v>65320</v>
      </c>
      <c r="S27" s="15" t="inlineStr">
        <is>
          <t>EQ</t>
        </is>
      </c>
      <c r="T27" s="11" t="inlineStr">
        <is>
          <t>Murata GRM1555C1E103JE01D C0G 25 V (C47 sits on a 3.3 V ADC node)</t>
        </is>
      </c>
      <c r="U27" s="11" t="inlineStr">
        <is>
          <t>CGA0402C0G103J250GT (HRE)</t>
        </is>
      </c>
      <c r="V27" s="10" t="inlineStr">
        <is>
          <t>C36911359</t>
        </is>
      </c>
      <c r="W27" s="12" t="n">
        <v>10855</v>
      </c>
      <c r="X27" s="15" t="inlineStr">
        <is>
          <t>EQ</t>
        </is>
      </c>
      <c r="Y27" s="11" t="inlineStr">
        <is>
          <t>HRE CGA0402C0G103J250GT C0G 25 V</t>
        </is>
      </c>
      <c r="Z27" s="10">
        <f>IF(ISNUMBER(J27),IF(J27&gt;=100*C27,1,0),0)+IF(ISNUMBER(R27),IF(R27&gt;=100*C27,1,0),0)+IF(ISNUMBER(W27),IF(W27&gt;=100*C27,1,0),0)</f>
        <v/>
      </c>
    </row>
    <row r="28">
      <c r="A28" s="10" t="n">
        <v>15</v>
      </c>
      <c r="B28" s="11" t="inlineStr">
        <is>
          <t>C55</t>
        </is>
      </c>
      <c r="C28" s="10" t="n">
        <v>1</v>
      </c>
      <c r="D28" s="11" t="inlineStr">
        <is>
          <t>4.7n</t>
        </is>
      </c>
      <c r="E28" s="11" t="inlineStr">
        <is>
          <t>C_0603_1608Metric</t>
        </is>
      </c>
      <c r="F28" s="11" t="inlineStr">
        <is>
          <t>Standard (0603)</t>
        </is>
      </c>
      <c r="G28" s="10" t="inlineStr">
        <is>
          <t>0603B472K500NT</t>
        </is>
      </c>
      <c r="H28" s="10" t="inlineStr">
        <is>
          <t>FH</t>
        </is>
      </c>
      <c r="I28" s="10" t="inlineStr">
        <is>
          <t>C53987</t>
        </is>
      </c>
      <c r="J28" s="12" t="n">
        <v>309050</v>
      </c>
      <c r="K28" s="12">
        <f>IF(ISNUMBER(J28),INT(J28/C28),0)</f>
        <v/>
      </c>
      <c r="L28" s="13" t="n">
        <v>0.0027</v>
      </c>
      <c r="M28" s="17" t="inlineStr">
        <is>
          <t>LOW</t>
        </is>
      </c>
      <c r="N28" s="11" t="inlineStr">
        <is>
          <t>Stock fine; 2nd/3rd checked.</t>
        </is>
      </c>
      <c r="O28" s="11" t="inlineStr"/>
      <c r="P28" s="11" t="inlineStr">
        <is>
          <t>0603B472K101NT (FH)</t>
        </is>
      </c>
      <c r="Q28" s="10" t="inlineStr">
        <is>
          <t>C12164</t>
        </is>
      </c>
      <c r="R28" s="12" t="n">
        <v>14250</v>
      </c>
      <c r="S28" s="15" t="inlineStr">
        <is>
          <t>EQ</t>
        </is>
      </c>
      <c r="T28" s="11" t="inlineStr">
        <is>
          <t>FH 0603B472K101NT 100 V X7R</t>
        </is>
      </c>
      <c r="U28" s="11" t="inlineStr">
        <is>
          <t>0603B472J500NT (FH)</t>
        </is>
      </c>
      <c r="V28" s="10" t="inlineStr">
        <is>
          <t>C168956</t>
        </is>
      </c>
      <c r="W28" s="12" t="n">
        <v>9300</v>
      </c>
      <c r="X28" s="15" t="inlineStr">
        <is>
          <t>EQ</t>
        </is>
      </c>
      <c r="Y28" s="11" t="inlineStr">
        <is>
          <t>FH 0603B472J500NT 50 V X7R</t>
        </is>
      </c>
      <c r="Z28" s="10">
        <f>IF(ISNUMBER(J28),IF(J28&gt;=100*C28,1,0),0)+IF(ISNUMBER(R28),IF(R28&gt;=100*C28,1,0),0)+IF(ISNUMBER(W28),IF(W28&gt;=100*C28,1,0),0)</f>
        <v/>
      </c>
    </row>
    <row r="29">
      <c r="A29" s="10" t="n">
        <v>16</v>
      </c>
      <c r="B29" s="11" t="inlineStr">
        <is>
          <t>C81,C93</t>
        </is>
      </c>
      <c r="C29" s="10" t="n">
        <v>2</v>
      </c>
      <c r="D29" s="11" t="inlineStr">
        <is>
          <t>220p C0G</t>
        </is>
      </c>
      <c r="E29" s="11" t="inlineStr">
        <is>
          <t>C_0402_1005Metric</t>
        </is>
      </c>
      <c r="F29" s="11" t="inlineStr">
        <is>
          <t>Standard (0402)</t>
        </is>
      </c>
      <c r="G29" s="10" t="inlineStr">
        <is>
          <t>CC0402JRNPO9BN221</t>
        </is>
      </c>
      <c r="H29" s="10" t="inlineStr">
        <is>
          <t>YAGEO</t>
        </is>
      </c>
      <c r="I29" s="10" t="inlineStr">
        <is>
          <t>C107001</t>
        </is>
      </c>
      <c r="J29" s="12" t="n">
        <v>483000</v>
      </c>
      <c r="K29" s="12">
        <f>IF(ISNUMBER(J29),INT(J29/C29),0)</f>
        <v/>
      </c>
      <c r="L29" s="13" t="n">
        <v>0.0024</v>
      </c>
      <c r="M29" s="17" t="inlineStr">
        <is>
          <t>LOW</t>
        </is>
      </c>
      <c r="N29" s="11" t="inlineStr">
        <is>
          <t>Stock fine; 2nd/3rd checked.</t>
        </is>
      </c>
      <c r="O29" s="11" t="inlineStr"/>
      <c r="P29" s="11" t="inlineStr">
        <is>
          <t>0402N221J500CT (Walsin)</t>
        </is>
      </c>
      <c r="Q29" s="10" t="inlineStr">
        <is>
          <t>C301973</t>
        </is>
      </c>
      <c r="R29" s="12" t="n">
        <v>33400</v>
      </c>
      <c r="S29" s="15" t="inlineStr">
        <is>
          <t>EQ</t>
        </is>
      </c>
      <c r="T29" s="11" t="inlineStr">
        <is>
          <t>Walsin 0402N221J500CT 220 pF NP0</t>
        </is>
      </c>
      <c r="U29" s="11" t="inlineStr">
        <is>
          <t>CC0402GRNPO9BN221 (YAGEO)</t>
        </is>
      </c>
      <c r="V29" s="10" t="inlineStr">
        <is>
          <t>C541425</t>
        </is>
      </c>
      <c r="W29" s="12" t="n">
        <v>27400</v>
      </c>
      <c r="X29" s="15" t="inlineStr">
        <is>
          <t>EQ</t>
        </is>
      </c>
      <c r="Y29" s="11" t="inlineStr">
        <is>
          <t>Yageo CC0402GRNPO9BN221 220 pF NP0</t>
        </is>
      </c>
      <c r="Z29" s="10">
        <f>IF(ISNUMBER(J29),IF(J29&gt;=100*C29,1,0),0)+IF(ISNUMBER(R29),IF(R29&gt;=100*C29,1,0),0)+IF(ISNUMBER(W29),IF(W29&gt;=100*C29,1,0),0)</f>
        <v/>
      </c>
    </row>
    <row r="30">
      <c r="A30" s="10" t="n">
        <v>17</v>
      </c>
      <c r="B30" s="11" t="inlineStr">
        <is>
          <t>C82</t>
        </is>
      </c>
      <c r="C30" s="10" t="n">
        <v>1</v>
      </c>
      <c r="D30" s="11" t="inlineStr">
        <is>
          <t>C0805C473F3GECAUTO</t>
        </is>
      </c>
      <c r="E30" s="11" t="inlineStr">
        <is>
          <t>C_0805_2012Metric</t>
        </is>
      </c>
      <c r="F30" s="11" t="inlineStr">
        <is>
          <t>Standard (0805)</t>
        </is>
      </c>
      <c r="G30" s="10" t="inlineStr">
        <is>
          <t>C0805C473F3GECAUTO</t>
        </is>
      </c>
      <c r="H30" s="10" t="inlineStr">
        <is>
          <t>KEMET</t>
        </is>
      </c>
      <c r="I30" s="10" t="inlineStr">
        <is>
          <t>C2233314</t>
        </is>
      </c>
      <c r="J30" s="12" t="n">
        <v>2403</v>
      </c>
      <c r="K30" s="12">
        <f>IF(ISNUMBER(J30),INT(J30/C30),0)</f>
        <v/>
      </c>
      <c r="L30" s="13" t="n">
        <v>0.4834</v>
      </c>
      <c r="M30" s="17" t="inlineStr">
        <is>
          <t>LOW</t>
        </is>
      </c>
      <c r="N30" s="11" t="inlineStr">
        <is>
          <t>Stock fine; 2nd/3rd checked.</t>
        </is>
      </c>
      <c r="O30" s="11" t="inlineStr"/>
      <c r="P30" s="11" t="inlineStr">
        <is>
          <t>C0805C473K3GECTU (KEMET)</t>
        </is>
      </c>
      <c r="Q30" s="10" t="inlineStr">
        <is>
          <t>C22409143</t>
        </is>
      </c>
      <c r="R30" s="12" t="n">
        <v>830</v>
      </c>
      <c r="S30" s="17" t="inlineStr">
        <is>
          <t>DS</t>
        </is>
      </c>
      <c r="T30" s="11" t="inlineStr">
        <is>
          <t>KEMET C0805C473K3GECTU 47 nF C0G 10 % 25 V</t>
        </is>
      </c>
      <c r="U30" s="11" t="inlineStr">
        <is>
          <t>CL21B473KBCNNNC (Samsung Electro-Mechanics)</t>
        </is>
      </c>
      <c r="V30" s="10" t="inlineStr">
        <is>
          <t>C53134</t>
        </is>
      </c>
      <c r="W30" s="12" t="n">
        <v>23600</v>
      </c>
      <c r="X30" s="15" t="inlineStr">
        <is>
          <t>EQ</t>
        </is>
      </c>
      <c r="Y30" s="11" t="inlineStr">
        <is>
          <t>previous primary (low / no stock)</t>
        </is>
      </c>
      <c r="Z30" s="10">
        <f>IF(ISNUMBER(J30),IF(J30&gt;=100*C30,1,0),0)+IF(ISNUMBER(R30),IF(R30&gt;=100*C30,1,0),0)+IF(ISNUMBER(W30),IF(W30&gt;=100*C30,1,0),0)</f>
        <v/>
      </c>
    </row>
    <row r="31">
      <c r="A31" s="10" t="n">
        <v>18</v>
      </c>
      <c r="B31" s="11" t="inlineStr">
        <is>
          <t>C94</t>
        </is>
      </c>
      <c r="C31" s="10" t="n">
        <v>1</v>
      </c>
      <c r="D31" s="11" t="inlineStr">
        <is>
          <t>4.7n 100V X7R</t>
        </is>
      </c>
      <c r="E31" s="11" t="inlineStr">
        <is>
          <t>C_0603_1608Metric</t>
        </is>
      </c>
      <c r="F31" s="11" t="inlineStr">
        <is>
          <t>Standard (0603)</t>
        </is>
      </c>
      <c r="G31" s="10" t="inlineStr">
        <is>
          <t>CC0603KRX7R0BB472</t>
        </is>
      </c>
      <c r="H31" s="10" t="inlineStr">
        <is>
          <t>YAGEO</t>
        </is>
      </c>
      <c r="I31" s="10" t="inlineStr">
        <is>
          <t>C115052</t>
        </is>
      </c>
      <c r="J31" s="12" t="n">
        <v>80950</v>
      </c>
      <c r="K31" s="12">
        <f>IF(ISNUMBER(J31),INT(J31/C31),0)</f>
        <v/>
      </c>
      <c r="L31" s="13" t="n">
        <v>0.008</v>
      </c>
      <c r="M31" s="17" t="inlineStr">
        <is>
          <t>LOW</t>
        </is>
      </c>
      <c r="N31" s="11" t="inlineStr">
        <is>
          <t>Stock fine; 2nd/3rd checked.</t>
        </is>
      </c>
      <c r="O31" s="11" t="inlineStr"/>
      <c r="P31" s="11" t="inlineStr">
        <is>
          <t>0603B472K101NT (FH)</t>
        </is>
      </c>
      <c r="Q31" s="10" t="inlineStr">
        <is>
          <t>C12164</t>
        </is>
      </c>
      <c r="R31" s="12" t="n">
        <v>14250</v>
      </c>
      <c r="S31" s="15" t="inlineStr">
        <is>
          <t>EQ</t>
        </is>
      </c>
      <c r="T31" s="11" t="inlineStr">
        <is>
          <t>FH 0603B472K101NT 100 V X7R</t>
        </is>
      </c>
      <c r="U31" s="11" t="inlineStr">
        <is>
          <t>0603B472K101CT (Walsin)</t>
        </is>
      </c>
      <c r="V31" s="10" t="inlineStr">
        <is>
          <t>C152940</t>
        </is>
      </c>
      <c r="W31" s="12" t="n">
        <v>2600</v>
      </c>
      <c r="X31" s="15" t="inlineStr">
        <is>
          <t>EQ</t>
        </is>
      </c>
      <c r="Y31" s="11" t="inlineStr">
        <is>
          <t>Walsin 0603B472K101CT 100 V X7R</t>
        </is>
      </c>
      <c r="Z31" s="10">
        <f>IF(ISNUMBER(J31),IF(J31&gt;=100*C31,1,0),0)+IF(ISNUMBER(R31),IF(R31&gt;=100*C31,1,0),0)+IF(ISNUMBER(W31),IF(W31&gt;=100*C31,1,0),0)</f>
        <v/>
      </c>
    </row>
    <row r="32">
      <c r="A32" s="10" t="n">
        <v>20</v>
      </c>
      <c r="B32" s="11" t="inlineStr">
        <is>
          <t>D1</t>
        </is>
      </c>
      <c r="C32" s="10" t="n">
        <v>1</v>
      </c>
      <c r="D32" s="11" t="inlineStr">
        <is>
          <t>SMBJ51A</t>
        </is>
      </c>
      <c r="E32" s="11" t="inlineStr">
        <is>
          <t>D_SMB</t>
        </is>
      </c>
      <c r="F32" s="11" t="inlineStr">
        <is>
          <t>Standard (SMB)</t>
        </is>
      </c>
      <c r="G32" s="10" t="inlineStr">
        <is>
          <t>SMBJ51A</t>
        </is>
      </c>
      <c r="H32" s="10" t="inlineStr">
        <is>
          <t>OTW</t>
        </is>
      </c>
      <c r="I32" s="10" t="inlineStr">
        <is>
          <t>C20883337</t>
        </is>
      </c>
      <c r="J32" s="12" t="n">
        <v>9260</v>
      </c>
      <c r="K32" s="12">
        <f>IF(ISNUMBER(J32),INT(J32/C32),0)</f>
        <v/>
      </c>
      <c r="L32" s="13" t="n">
        <v>0.0163</v>
      </c>
      <c r="M32" s="17" t="inlineStr">
        <is>
          <t>LOW</t>
        </is>
      </c>
      <c r="N32" s="11" t="inlineStr">
        <is>
          <t>Stock fine; 2nd/3rd checked.</t>
        </is>
      </c>
      <c r="O32" s="11" t="inlineStr"/>
      <c r="P32" s="11" t="inlineStr">
        <is>
          <t>SMBJ51A (Littelfuse)</t>
        </is>
      </c>
      <c r="Q32" s="10" t="inlineStr">
        <is>
          <t>C1973217</t>
        </is>
      </c>
      <c r="R32" s="12" t="n">
        <v>7885</v>
      </c>
      <c r="S32" s="15" t="inlineStr">
        <is>
          <t>EQ</t>
        </is>
      </c>
      <c r="T32" s="11" t="inlineStr">
        <is>
          <t>Littelfuse SMBJ51A</t>
        </is>
      </c>
      <c r="U32" s="11" t="inlineStr">
        <is>
          <t>SMBJ51A (RUILON)</t>
        </is>
      </c>
      <c r="V32" s="10" t="inlineStr">
        <is>
          <t>C10225</t>
        </is>
      </c>
      <c r="W32" s="12" t="n">
        <v>2665</v>
      </c>
      <c r="X32" s="15" t="inlineStr">
        <is>
          <t>EQ</t>
        </is>
      </c>
      <c r="Y32" s="11" t="inlineStr">
        <is>
          <t>RUILON SMBJ51A</t>
        </is>
      </c>
      <c r="Z32" s="10">
        <f>IF(ISNUMBER(J32),IF(J32&gt;=100*C32,1,0),0)+IF(ISNUMBER(R32),IF(R32&gt;=100*C32,1,0),0)+IF(ISNUMBER(W32),IF(W32&gt;=100*C32,1,0),0)</f>
        <v/>
      </c>
    </row>
    <row r="33">
      <c r="A33" s="10" t="n">
        <v>21</v>
      </c>
      <c r="B33" s="11" t="inlineStr">
        <is>
          <t>D2,D6,D8,D9</t>
        </is>
      </c>
      <c r="C33" s="10" t="n">
        <v>4</v>
      </c>
      <c r="D33" s="11" t="inlineStr">
        <is>
          <t>SS110</t>
        </is>
      </c>
      <c r="E33" s="11" t="inlineStr">
        <is>
          <t>D_SMA</t>
        </is>
      </c>
      <c r="F33" s="11" t="inlineStr">
        <is>
          <t>Standard (SMA)</t>
        </is>
      </c>
      <c r="G33" s="10" t="inlineStr">
        <is>
          <t>SS110</t>
        </is>
      </c>
      <c r="H33" s="10" t="inlineStr">
        <is>
          <t>MDD(Microdiode Semiconductor)</t>
        </is>
      </c>
      <c r="I33" s="10" t="inlineStr">
        <is>
          <t>C2482</t>
        </is>
      </c>
      <c r="J33" s="12" t="n">
        <v>163400</v>
      </c>
      <c r="K33" s="12">
        <f>IF(ISNUMBER(J33),INT(J33/C33),0)</f>
        <v/>
      </c>
      <c r="L33" s="13" t="n">
        <v>0.01</v>
      </c>
      <c r="M33" s="17" t="inlineStr">
        <is>
          <t>LOW</t>
        </is>
      </c>
      <c r="N33" s="11" t="inlineStr">
        <is>
          <t>Stock fine; 2nd/3rd checked.</t>
        </is>
      </c>
      <c r="O33" s="11" t="inlineStr"/>
      <c r="P33" s="11" t="inlineStr">
        <is>
          <t>STPS1H100A (ST)</t>
        </is>
      </c>
      <c r="Q33" s="10" t="inlineStr">
        <is>
          <t>C165701</t>
        </is>
      </c>
      <c r="R33" s="12" t="n">
        <v>18455</v>
      </c>
      <c r="S33" s="15" t="inlineStr">
        <is>
          <t>EQ</t>
        </is>
      </c>
      <c r="T33" s="11" t="inlineStr">
        <is>
          <t>ST STPS1H100A 100 V 1 A SMA (lower leakage)</t>
        </is>
      </c>
      <c r="U33" s="11" t="inlineStr">
        <is>
          <t>SS110 (Guangdong Hottech)</t>
        </is>
      </c>
      <c r="V33" s="10" t="inlineStr">
        <is>
          <t>C224219</t>
        </is>
      </c>
      <c r="W33" s="12" t="n">
        <v>1360</v>
      </c>
      <c r="X33" s="15" t="inlineStr">
        <is>
          <t>EQ</t>
        </is>
      </c>
      <c r="Y33" s="11" t="inlineStr">
        <is>
          <t>previous primary (low / no stock)</t>
        </is>
      </c>
      <c r="Z33" s="10">
        <f>IF(ISNUMBER(J33),IF(J33&gt;=100*C33,1,0),0)+IF(ISNUMBER(R33),IF(R33&gt;=100*C33,1,0),0)+IF(ISNUMBER(W33),IF(W33&gt;=100*C33,1,0),0)</f>
        <v/>
      </c>
    </row>
    <row r="34">
      <c r="A34" s="10" t="n">
        <v>22</v>
      </c>
      <c r="B34" s="11" t="inlineStr">
        <is>
          <t>D3</t>
        </is>
      </c>
      <c r="C34" s="10" t="n">
        <v>1</v>
      </c>
      <c r="D34" s="11" t="inlineStr">
        <is>
          <t>NUP2105LT1G</t>
        </is>
      </c>
      <c r="E34" s="11" t="inlineStr">
        <is>
          <t>SOT-23</t>
        </is>
      </c>
      <c r="F34" s="11" t="inlineStr">
        <is>
          <t>Standard (SOT-23)</t>
        </is>
      </c>
      <c r="G34" s="10" t="inlineStr">
        <is>
          <t>NUP2105LT1G</t>
        </is>
      </c>
      <c r="H34" s="10" t="inlineStr">
        <is>
          <t>onsemi</t>
        </is>
      </c>
      <c r="I34" s="10" t="inlineStr">
        <is>
          <t>C14486</t>
        </is>
      </c>
      <c r="J34" s="12" t="n">
        <v>119530</v>
      </c>
      <c r="K34" s="12">
        <f>IF(ISNUMBER(J34),INT(J34/C34),0)</f>
        <v/>
      </c>
      <c r="L34" s="13" t="n">
        <v>0.0381</v>
      </c>
      <c r="M34" s="17" t="inlineStr">
        <is>
          <t>LOW</t>
        </is>
      </c>
      <c r="N34" s="11" t="inlineStr">
        <is>
          <t>Stock fine; 2nd/3rd checked.</t>
        </is>
      </c>
      <c r="O34" s="11" t="inlineStr"/>
      <c r="P34" s="11" t="inlineStr">
        <is>
          <t>NUP2105LT1G (GOODWORK)</t>
        </is>
      </c>
      <c r="Q34" s="10" t="inlineStr">
        <is>
          <t>C21713988</t>
        </is>
      </c>
      <c r="R34" s="12" t="n">
        <v>68040</v>
      </c>
      <c r="S34" s="15" t="inlineStr">
        <is>
          <t>EQ</t>
        </is>
      </c>
      <c r="T34" s="11" t="inlineStr">
        <is>
          <t>GOODWORK NUP2105LT1G (same part no., same pinout 1=CAN 2=CAN 3=GND)</t>
        </is>
      </c>
      <c r="U34" s="11" t="inlineStr">
        <is>
          <t>NUP2105L (DOWO)</t>
        </is>
      </c>
      <c r="V34" s="10" t="inlineStr">
        <is>
          <t>C284104</t>
        </is>
      </c>
      <c r="W34" s="12" t="n">
        <v>57270</v>
      </c>
      <c r="X34" s="15" t="inlineStr">
        <is>
          <t>EQ</t>
        </is>
      </c>
      <c r="Y34" s="11" t="inlineStr">
        <is>
          <t>DOWO NUP2105L</t>
        </is>
      </c>
      <c r="Z34" s="10">
        <f>IF(ISNUMBER(J34),IF(J34&gt;=100*C34,1,0),0)+IF(ISNUMBER(R34),IF(R34&gt;=100*C34,1,0),0)+IF(ISNUMBER(W34),IF(W34&gt;=100*C34,1,0),0)</f>
        <v/>
      </c>
    </row>
    <row r="35">
      <c r="A35" s="10" t="n">
        <v>23</v>
      </c>
      <c r="B35" s="11" t="inlineStr">
        <is>
          <t>D4</t>
        </is>
      </c>
      <c r="C35" s="10" t="n">
        <v>1</v>
      </c>
      <c r="D35" s="11" t="inlineStr">
        <is>
          <t>GREEN RUN</t>
        </is>
      </c>
      <c r="E35" s="11" t="inlineStr">
        <is>
          <t>LED_0603_1608Metric</t>
        </is>
      </c>
      <c r="F35" s="11" t="inlineStr">
        <is>
          <t>Standard (0603 LED)</t>
        </is>
      </c>
      <c r="G35" s="10" t="inlineStr">
        <is>
          <t>KT-0603G</t>
        </is>
      </c>
      <c r="H35" s="10" t="inlineStr">
        <is>
          <t>Hubei KENTO Elec</t>
        </is>
      </c>
      <c r="I35" s="10" t="inlineStr">
        <is>
          <t>C12624</t>
        </is>
      </c>
      <c r="J35" s="12" t="n">
        <v>476000</v>
      </c>
      <c r="K35" s="12">
        <f>IF(ISNUMBER(J35),INT(J35/C35),0)</f>
        <v/>
      </c>
      <c r="L35" s="13" t="n">
        <v>0.0058</v>
      </c>
      <c r="M35" s="17" t="inlineStr">
        <is>
          <t>LOW</t>
        </is>
      </c>
      <c r="N35" s="11" t="inlineStr">
        <is>
          <t>Stock fine; 2nd/3rd checked.</t>
        </is>
      </c>
      <c r="O35" s="11" t="inlineStr"/>
      <c r="P35" s="11" t="inlineStr">
        <is>
          <t>19-217/GHC-YR1S2/6T (EVERLIGHT)</t>
        </is>
      </c>
      <c r="Q35" s="10" t="inlineStr">
        <is>
          <t>C2986059</t>
        </is>
      </c>
      <c r="R35" s="12" t="n">
        <v>837050</v>
      </c>
      <c r="S35" s="15" t="inlineStr">
        <is>
          <t>EQ</t>
        </is>
      </c>
      <c r="T35" s="11" t="inlineStr">
        <is>
          <t>Everlight 19-217/GHC emerald green</t>
        </is>
      </c>
      <c r="U35" s="11" t="inlineStr">
        <is>
          <t>19-217/G7C-AN1P2/6T (EVERLIGHT)</t>
        </is>
      </c>
      <c r="V35" s="10" t="inlineStr">
        <is>
          <t>C2986030</t>
        </is>
      </c>
      <c r="W35" s="12" t="n">
        <v>845850</v>
      </c>
      <c r="X35" s="16" t="inlineStr">
        <is>
          <t>CHK</t>
        </is>
      </c>
      <c r="Y35" s="11" t="inlineStr">
        <is>
          <t>Everlight yellow-green, Vf 2.0 V (brighter at the same resistor)</t>
        </is>
      </c>
      <c r="Z35" s="10">
        <f>IF(ISNUMBER(J35),IF(J35&gt;=100*C35,1,0),0)+IF(ISNUMBER(R35),IF(R35&gt;=100*C35,1,0),0)+IF(ISNUMBER(W35),IF(W35&gt;=100*C35,1,0),0)</f>
        <v/>
      </c>
    </row>
    <row r="36">
      <c r="A36" s="10" t="n">
        <v>24</v>
      </c>
      <c r="B36" s="11" t="inlineStr">
        <is>
          <t>D5</t>
        </is>
      </c>
      <c r="C36" s="10" t="n">
        <v>1</v>
      </c>
      <c r="D36" s="11" t="inlineStr">
        <is>
          <t>RED FAULT</t>
        </is>
      </c>
      <c r="E36" s="11" t="inlineStr">
        <is>
          <t>LED_0603_1608Metric</t>
        </is>
      </c>
      <c r="F36" s="11" t="inlineStr">
        <is>
          <t>Standard (0603 LED)</t>
        </is>
      </c>
      <c r="G36" s="10" t="inlineStr">
        <is>
          <t>KT-0603R</t>
        </is>
      </c>
      <c r="H36" s="10" t="inlineStr">
        <is>
          <t>Hubei KENTO Elec</t>
        </is>
      </c>
      <c r="I36" s="10" t="inlineStr">
        <is>
          <t>C2286</t>
        </is>
      </c>
      <c r="J36" s="12" t="n">
        <v>5889200</v>
      </c>
      <c r="K36" s="12">
        <f>IF(ISNUMBER(J36),INT(J36/C36),0)</f>
        <v/>
      </c>
      <c r="L36" s="13" t="n">
        <v>0.0036</v>
      </c>
      <c r="M36" s="17" t="inlineStr">
        <is>
          <t>LOW</t>
        </is>
      </c>
      <c r="N36" s="11" t="inlineStr">
        <is>
          <t>Stock fine; 2nd/3rd checked.</t>
        </is>
      </c>
      <c r="O36" s="11" t="inlineStr"/>
      <c r="P36" s="11" t="inlineStr">
        <is>
          <t>19-217/R6C-AL1M2VY/6T (EVERLIGHT)</t>
        </is>
      </c>
      <c r="Q36" s="10" t="inlineStr">
        <is>
          <t>C2986060</t>
        </is>
      </c>
      <c r="R36" s="12" t="n">
        <v>3778500</v>
      </c>
      <c r="S36" s="15" t="inlineStr">
        <is>
          <t>EQ</t>
        </is>
      </c>
      <c r="T36" s="11" t="inlineStr">
        <is>
          <t>Everlight 19-217/R6C red</t>
        </is>
      </c>
      <c r="U36" s="11" t="inlineStr">
        <is>
          <t>19-217/R6C-P1Q2/6T (EVERLIGHT)</t>
        </is>
      </c>
      <c r="V36" s="10" t="inlineStr">
        <is>
          <t>C2986061</t>
        </is>
      </c>
      <c r="W36" s="12" t="n">
        <v>64200</v>
      </c>
      <c r="X36" s="15" t="inlineStr">
        <is>
          <t>EQ</t>
        </is>
      </c>
      <c r="Y36" s="11" t="inlineStr">
        <is>
          <t>Everlight 19-217/R6C-P1Q2 red</t>
        </is>
      </c>
      <c r="Z36" s="10">
        <f>IF(ISNUMBER(J36),IF(J36&gt;=100*C36,1,0),0)+IF(ISNUMBER(R36),IF(R36&gt;=100*C36,1,0),0)+IF(ISNUMBER(W36),IF(W36&gt;=100*C36,1,0),0)</f>
        <v/>
      </c>
    </row>
    <row r="37">
      <c r="A37" s="10" t="n">
        <v>25</v>
      </c>
      <c r="B37" s="11" t="inlineStr">
        <is>
          <t>D7</t>
        </is>
      </c>
      <c r="C37" s="10" t="n">
        <v>1</v>
      </c>
      <c r="D37" s="11" t="inlineStr">
        <is>
          <t>1N4148W</t>
        </is>
      </c>
      <c r="E37" s="11" t="inlineStr">
        <is>
          <t>D_SOD-123</t>
        </is>
      </c>
      <c r="F37" s="11" t="inlineStr">
        <is>
          <t>Standard (SOD-123)</t>
        </is>
      </c>
      <c r="G37" s="10" t="inlineStr">
        <is>
          <t>1N4148W</t>
        </is>
      </c>
      <c r="H37" s="10" t="inlineStr">
        <is>
          <t>ST(Semtech)</t>
        </is>
      </c>
      <c r="I37" s="10" t="inlineStr">
        <is>
          <t>C81598</t>
        </is>
      </c>
      <c r="J37" s="12" t="n">
        <v>2881050</v>
      </c>
      <c r="K37" s="12">
        <f>IF(ISNUMBER(J37),INT(J37/C37),0)</f>
        <v/>
      </c>
      <c r="L37" s="13" t="n">
        <v>0.0061</v>
      </c>
      <c r="M37" s="17" t="inlineStr">
        <is>
          <t>LOW</t>
        </is>
      </c>
      <c r="N37" s="11" t="inlineStr">
        <is>
          <t>Stock fine; 2nd/3rd checked.</t>
        </is>
      </c>
      <c r="O37" s="11" t="inlineStr"/>
      <c r="P37" s="11" t="inlineStr">
        <is>
          <t>1N4448W (ST(Semtech))</t>
        </is>
      </c>
      <c r="Q37" s="10" t="inlineStr">
        <is>
          <t>C108428</t>
        </is>
      </c>
      <c r="R37" s="12" t="n">
        <v>1400</v>
      </c>
      <c r="S37" s="15" t="inlineStr">
        <is>
          <t>EQ</t>
        </is>
      </c>
      <c r="T37" s="11" t="inlineStr">
        <is>
          <t>1N4448W 80 V SOD-123</t>
        </is>
      </c>
      <c r="U37" s="11" t="inlineStr"/>
      <c r="V37" s="10" t="inlineStr"/>
      <c r="W37" s="12" t="n"/>
      <c r="X37" s="18" t="inlineStr"/>
      <c r="Y37" s="11" t="inlineStr">
        <is>
          <t>none in stock on LCSC</t>
        </is>
      </c>
      <c r="Z37" s="10">
        <f>IF(ISNUMBER(J37),IF(J37&gt;=100*C37,1,0),0)+IF(ISNUMBER(R37),IF(R37&gt;=100*C37,1,0),0)+IF(ISNUMBER(W37),IF(W37&gt;=100*C37,1,0),0)</f>
        <v/>
      </c>
    </row>
    <row r="38">
      <c r="A38" s="10" t="n">
        <v>27</v>
      </c>
      <c r="B38" s="11" t="inlineStr">
        <is>
          <t>FB1</t>
        </is>
      </c>
      <c r="C38" s="10" t="n">
        <v>1</v>
      </c>
      <c r="D38" s="11" t="inlineStr">
        <is>
          <t>BLM18KG601SN1D</t>
        </is>
      </c>
      <c r="E38" s="11" t="inlineStr">
        <is>
          <t>L_0603_1608Metric</t>
        </is>
      </c>
      <c r="F38" s="11" t="inlineStr">
        <is>
          <t>Standard (0603 bead)</t>
        </is>
      </c>
      <c r="G38" s="10" t="inlineStr">
        <is>
          <t>BLM18KG601SN1D</t>
        </is>
      </c>
      <c r="H38" s="10" t="inlineStr">
        <is>
          <t>muRata</t>
        </is>
      </c>
      <c r="I38" s="10" t="inlineStr">
        <is>
          <t>C85833</t>
        </is>
      </c>
      <c r="J38" s="12" t="n">
        <v>806800</v>
      </c>
      <c r="K38" s="12">
        <f>IF(ISNUMBER(J38),INT(J38/C38),0)</f>
        <v/>
      </c>
      <c r="L38" s="13" t="n">
        <v>0.009299999999999999</v>
      </c>
      <c r="M38" s="17" t="inlineStr">
        <is>
          <t>LOW</t>
        </is>
      </c>
      <c r="N38" s="11" t="inlineStr">
        <is>
          <t>Stock fine; 2nd/3rd checked.</t>
        </is>
      </c>
      <c r="O38" s="11" t="inlineStr"/>
      <c r="P38" s="11" t="inlineStr">
        <is>
          <t>BLM18KG601SH1D (muRata)</t>
        </is>
      </c>
      <c r="Q38" s="10" t="inlineStr">
        <is>
          <t>C710379</t>
        </is>
      </c>
      <c r="R38" s="12" t="n">
        <v>21960</v>
      </c>
      <c r="S38" s="15" t="inlineStr">
        <is>
          <t>EQ</t>
        </is>
      </c>
      <c r="T38" s="11" t="inlineStr">
        <is>
          <t>Murata BLM18KG601SH1D 600R 1.3 A</t>
        </is>
      </c>
      <c r="U38" s="11" t="inlineStr"/>
      <c r="V38" s="10" t="inlineStr"/>
      <c r="W38" s="12" t="n"/>
      <c r="X38" s="18" t="inlineStr"/>
      <c r="Y38" s="11" t="inlineStr">
        <is>
          <t>none in stock on LCSC</t>
        </is>
      </c>
      <c r="Z38" s="10">
        <f>IF(ISNUMBER(J38),IF(J38&gt;=100*C38,1,0),0)+IF(ISNUMBER(R38),IF(R38&gt;=100*C38,1,0),0)+IF(ISNUMBER(W38),IF(W38&gt;=100*C38,1,0),0)</f>
        <v/>
      </c>
    </row>
    <row r="39">
      <c r="A39" s="10" t="n">
        <v>29</v>
      </c>
      <c r="B39" s="11" t="inlineStr">
        <is>
          <t>L2,L3</t>
        </is>
      </c>
      <c r="C39" s="10" t="n">
        <v>2</v>
      </c>
      <c r="D39" s="11" t="inlineStr">
        <is>
          <t>FNR5040S470MT</t>
        </is>
      </c>
      <c r="E39" s="11" t="inlineStr">
        <is>
          <t>L_Sunlord_SWPA5040S</t>
        </is>
      </c>
      <c r="F39" s="11" t="inlineStr">
        <is>
          <t>De-facto standard (many makers) (5040 shielded)</t>
        </is>
      </c>
      <c r="G39" s="10" t="inlineStr">
        <is>
          <t>FNR5040S470MT</t>
        </is>
      </c>
      <c r="H39" s="10" t="inlineStr">
        <is>
          <t>cjiang</t>
        </is>
      </c>
      <c r="I39" s="10" t="inlineStr">
        <is>
          <t>C167974</t>
        </is>
      </c>
      <c r="J39" s="12" t="n">
        <v>35940</v>
      </c>
      <c r="K39" s="12">
        <f>IF(ISNUMBER(J39),INT(J39/C39),0)</f>
        <v/>
      </c>
      <c r="L39" s="13" t="n">
        <v>0.0455</v>
      </c>
      <c r="M39" s="17" t="inlineStr">
        <is>
          <t>LOW</t>
        </is>
      </c>
      <c r="N39" s="11" t="inlineStr">
        <is>
          <t>Stock fine; 2nd/3rd checked.</t>
        </is>
      </c>
      <c r="O39" s="11" t="inlineStr"/>
      <c r="P39" s="11" t="inlineStr">
        <is>
          <t>ANR5040T470M (APV)</t>
        </is>
      </c>
      <c r="Q39" s="10" t="inlineStr">
        <is>
          <t>C7427133</t>
        </is>
      </c>
      <c r="R39" s="12" t="n">
        <v>7940</v>
      </c>
      <c r="S39" s="16" t="inlineStr">
        <is>
          <t>CHK</t>
        </is>
      </c>
      <c r="T39" s="11" t="inlineStr">
        <is>
          <t>APV ANR5040T470M 47 uH 1.3 A sat - no datasheet on LCSC; 5040 body</t>
        </is>
      </c>
      <c r="U39" s="11" t="inlineStr"/>
      <c r="V39" s="10" t="inlineStr"/>
      <c r="W39" s="12" t="n"/>
      <c r="X39" s="18" t="inlineStr"/>
      <c r="Y39" s="11" t="inlineStr">
        <is>
          <t>none in stock on LCSC</t>
        </is>
      </c>
      <c r="Z39" s="10">
        <f>IF(ISNUMBER(J39),IF(J39&gt;=100*C39,1,0),0)+IF(ISNUMBER(R39),IF(R39&gt;=100*C39,1,0),0)+IF(ISNUMBER(W39),IF(W39&gt;=100*C39,1,0),0)</f>
        <v/>
      </c>
    </row>
    <row r="40">
      <c r="A40" s="10" t="n">
        <v>31</v>
      </c>
      <c r="B40" s="11" t="inlineStr">
        <is>
          <t>Q2,Q3,Q5,Q6</t>
        </is>
      </c>
      <c r="C40" s="10" t="n">
        <v>4</v>
      </c>
      <c r="D40" s="11" t="inlineStr">
        <is>
          <t>NCEP068N10G</t>
        </is>
      </c>
      <c r="E40" s="11" t="inlineStr">
        <is>
          <t>TDSON-8-1</t>
        </is>
      </c>
      <c r="F40" s="11" t="inlineStr">
        <is>
          <t>Standard (DFN5x6 / PowerPAK SO-8)</t>
        </is>
      </c>
      <c r="G40" s="10" t="inlineStr">
        <is>
          <t>NCEP068N10G</t>
        </is>
      </c>
      <c r="H40" s="10" t="inlineStr">
        <is>
          <t>NCE</t>
        </is>
      </c>
      <c r="I40" s="10" t="inlineStr">
        <is>
          <t>C503061</t>
        </is>
      </c>
      <c r="J40" s="12" t="n">
        <v>7577</v>
      </c>
      <c r="K40" s="12">
        <f>IF(ISNUMBER(J40),INT(J40/C40),0)</f>
        <v/>
      </c>
      <c r="L40" s="13" t="n">
        <v>0.6372</v>
      </c>
      <c r="M40" s="17" t="inlineStr">
        <is>
          <t>LOW</t>
        </is>
      </c>
      <c r="N40" s="11" t="inlineStr">
        <is>
          <t>Stock fine; 2nd/3rd checked.</t>
        </is>
      </c>
      <c r="O40" s="11" t="inlineStr"/>
      <c r="P40" s="11" t="inlineStr">
        <is>
          <t>NCEP095N10AG (NCE)</t>
        </is>
      </c>
      <c r="Q40" s="10" t="inlineStr">
        <is>
          <t>C2686677</t>
        </is>
      </c>
      <c r="R40" s="12" t="n">
        <v>645</v>
      </c>
      <c r="S40" s="17" t="inlineStr">
        <is>
          <t>DS</t>
        </is>
      </c>
      <c r="T40" s="11" t="inlineStr">
        <is>
          <t>NCE NCEP095N10AG 100 V 12 mOhm, Qg 54 nC</t>
        </is>
      </c>
      <c r="U40" s="11" t="inlineStr">
        <is>
          <t>NCEP0160AG (NCE)</t>
        </is>
      </c>
      <c r="V40" s="10" t="inlineStr">
        <is>
          <t>C503012</t>
        </is>
      </c>
      <c r="W40" s="12" t="n">
        <v>38</v>
      </c>
      <c r="X40" s="15" t="inlineStr">
        <is>
          <t>EQ</t>
        </is>
      </c>
      <c r="Y40" s="11" t="inlineStr">
        <is>
          <t>previous primary (low / no stock)</t>
        </is>
      </c>
      <c r="Z40" s="10">
        <f>IF(ISNUMBER(J40),IF(J40&gt;=100*C40,1,0),0)+IF(ISNUMBER(R40),IF(R40&gt;=100*C40,1,0),0)+IF(ISNUMBER(W40),IF(W40&gt;=100*C40,1,0),0)</f>
        <v/>
      </c>
    </row>
    <row r="41">
      <c r="A41" s="10" t="n">
        <v>32</v>
      </c>
      <c r="B41" s="11" t="inlineStr">
        <is>
          <t>Q7,Q8</t>
        </is>
      </c>
      <c r="C41" s="10" t="n">
        <v>2</v>
      </c>
      <c r="D41" s="11" t="inlineStr">
        <is>
          <t>BSC160N15NS5</t>
        </is>
      </c>
      <c r="E41" s="11" t="inlineStr">
        <is>
          <t>TDSON-8-1</t>
        </is>
      </c>
      <c r="F41" s="11" t="inlineStr">
        <is>
          <t>Standard (DFN5x6 / SuperSO8)</t>
        </is>
      </c>
      <c r="G41" s="10" t="inlineStr">
        <is>
          <t>BSC160N15NS5</t>
        </is>
      </c>
      <c r="H41" s="10" t="inlineStr">
        <is>
          <t>Infineon</t>
        </is>
      </c>
      <c r="I41" s="10" t="inlineStr">
        <is>
          <t>C459172</t>
        </is>
      </c>
      <c r="J41" s="12" t="n">
        <v>4771</v>
      </c>
      <c r="K41" s="12">
        <f>IF(ISNUMBER(J41),INT(J41/C41),0)</f>
        <v/>
      </c>
      <c r="L41" s="13" t="n">
        <v>0.5455</v>
      </c>
      <c r="M41" s="17" t="inlineStr">
        <is>
          <t>LOW</t>
        </is>
      </c>
      <c r="N41" s="11" t="inlineStr">
        <is>
          <t>Stock fine; 2nd/3rd checked.</t>
        </is>
      </c>
      <c r="O41" s="11" t="inlineStr"/>
      <c r="P41" s="11" t="inlineStr">
        <is>
          <t>SP015N13GHNK (Siliup)</t>
        </is>
      </c>
      <c r="Q41" s="10" t="inlineStr">
        <is>
          <t>C22466810</t>
        </is>
      </c>
      <c r="R41" s="12" t="n">
        <v>465</v>
      </c>
      <c r="S41" s="17" t="inlineStr">
        <is>
          <t>DS</t>
        </is>
      </c>
      <c r="T41" s="11" t="inlineStr">
        <is>
          <t>Siliup SP015N13GHNK 150 V 13 mOhm, Qg 30 nC (primary 19 nC) - fine for UCC27524</t>
        </is>
      </c>
      <c r="U41" s="11" t="inlineStr">
        <is>
          <t>LN7910DT1WG (LRC)</t>
        </is>
      </c>
      <c r="V41" s="10" t="inlineStr">
        <is>
          <t>C2936692</t>
        </is>
      </c>
      <c r="W41" s="12" t="n">
        <v>1461</v>
      </c>
      <c r="X41" s="16" t="inlineStr">
        <is>
          <t>CHK</t>
        </is>
      </c>
      <c r="Y41" s="11" t="inlineStr">
        <is>
          <t>LRC LN7910DT1WG 150 V 15 mOhm - Qg not readable in the datasheet text</t>
        </is>
      </c>
      <c r="Z41" s="10">
        <f>IF(ISNUMBER(J41),IF(J41&gt;=100*C41,1,0),0)+IF(ISNUMBER(R41),IF(R41&gt;=100*C41,1,0),0)+IF(ISNUMBER(W41),IF(W41&gt;=100*C41,1,0),0)</f>
        <v/>
      </c>
    </row>
    <row r="42">
      <c r="A42" s="10" t="n">
        <v>33</v>
      </c>
      <c r="B42" s="11" t="inlineStr">
        <is>
          <t>Q9</t>
        </is>
      </c>
      <c r="C42" s="10" t="n">
        <v>1</v>
      </c>
      <c r="D42" s="11" t="inlineStr">
        <is>
          <t>MMBT3906</t>
        </is>
      </c>
      <c r="E42" s="11" t="inlineStr">
        <is>
          <t>SOT-23</t>
        </is>
      </c>
      <c r="F42" s="11" t="inlineStr">
        <is>
          <t>Standard (SOT-23)</t>
        </is>
      </c>
      <c r="G42" s="10" t="inlineStr">
        <is>
          <t>MMBT3906LT1G</t>
        </is>
      </c>
      <c r="H42" s="10" t="inlineStr">
        <is>
          <t>onsemi</t>
        </is>
      </c>
      <c r="I42" s="10" t="inlineStr">
        <is>
          <t>C53444</t>
        </is>
      </c>
      <c r="J42" s="12" t="n">
        <v>938050</v>
      </c>
      <c r="K42" s="12">
        <f>IF(ISNUMBER(J42),INT(J42/C42),0)</f>
        <v/>
      </c>
      <c r="L42" s="13" t="n">
        <v>0.0086</v>
      </c>
      <c r="M42" s="17" t="inlineStr">
        <is>
          <t>LOW</t>
        </is>
      </c>
      <c r="N42" s="11" t="inlineStr">
        <is>
          <t>Stock fine; 2nd/3rd checked.</t>
        </is>
      </c>
      <c r="O42" s="11" t="inlineStr"/>
      <c r="P42" s="11" t="inlineStr">
        <is>
          <t>PMBT3906,215 (Nexperia)</t>
        </is>
      </c>
      <c r="Q42" s="10" t="inlineStr">
        <is>
          <t>C8670</t>
        </is>
      </c>
      <c r="R42" s="12" t="n">
        <v>114520</v>
      </c>
      <c r="S42" s="15" t="inlineStr">
        <is>
          <t>EQ</t>
        </is>
      </c>
      <c r="T42" s="11" t="inlineStr">
        <is>
          <t>Nexperia PMBT3906</t>
        </is>
      </c>
      <c r="U42" s="11" t="inlineStr">
        <is>
          <t>S-LMBT3906LT1G (LRC)</t>
        </is>
      </c>
      <c r="V42" s="10" t="inlineStr">
        <is>
          <t>C383300</t>
        </is>
      </c>
      <c r="W42" s="12" t="n">
        <v>5280</v>
      </c>
      <c r="X42" s="15" t="inlineStr">
        <is>
          <t>EQ</t>
        </is>
      </c>
      <c r="Y42" s="11" t="inlineStr">
        <is>
          <t>LRC S-LMBT3906LT1G</t>
        </is>
      </c>
      <c r="Z42" s="10">
        <f>IF(ISNUMBER(J42),IF(J42&gt;=100*C42,1,0),0)+IF(ISNUMBER(R42),IF(R42&gt;=100*C42,1,0),0)+IF(ISNUMBER(W42),IF(W42&gt;=100*C42,1,0),0)</f>
        <v/>
      </c>
    </row>
    <row r="43">
      <c r="A43" s="10" t="n">
        <v>34</v>
      </c>
      <c r="B43" s="11" t="inlineStr">
        <is>
          <t>Q10</t>
        </is>
      </c>
      <c r="C43" s="10" t="n">
        <v>1</v>
      </c>
      <c r="D43" s="11" t="inlineStr">
        <is>
          <t>2N7002</t>
        </is>
      </c>
      <c r="E43" s="11" t="inlineStr">
        <is>
          <t>SOT-23</t>
        </is>
      </c>
      <c r="F43" s="11" t="inlineStr">
        <is>
          <t>Standard (SOT-23)</t>
        </is>
      </c>
      <c r="G43" s="10" t="inlineStr">
        <is>
          <t>2N7002</t>
        </is>
      </c>
      <c r="H43" s="10" t="inlineStr">
        <is>
          <t>JSCJ</t>
        </is>
      </c>
      <c r="I43" s="10" t="inlineStr">
        <is>
          <t>C8545</t>
        </is>
      </c>
      <c r="J43" s="12" t="n">
        <v>1919050</v>
      </c>
      <c r="K43" s="12">
        <f>IF(ISNUMBER(J43),INT(J43/C43),0)</f>
        <v/>
      </c>
      <c r="L43" s="13" t="n">
        <v>0.0105</v>
      </c>
      <c r="M43" s="17" t="inlineStr">
        <is>
          <t>LOW</t>
        </is>
      </c>
      <c r="N43" s="11" t="inlineStr">
        <is>
          <t>Stock fine; 2nd/3rd checked.</t>
        </is>
      </c>
      <c r="O43" s="11" t="inlineStr"/>
      <c r="P43" s="11" t="inlineStr">
        <is>
          <t>BSS123 (JSCJ)</t>
        </is>
      </c>
      <c r="Q43" s="10" t="inlineStr">
        <is>
          <t>C79015</t>
        </is>
      </c>
      <c r="R43" s="12" t="n">
        <v>150960</v>
      </c>
      <c r="S43" s="15" t="inlineStr">
        <is>
          <t>EQ</t>
        </is>
      </c>
      <c r="T43" s="11" t="inlineStr">
        <is>
          <t>JSCJ BSS123 100 V (G-S-D pinout)</t>
        </is>
      </c>
      <c r="U43" s="11" t="inlineStr">
        <is>
          <t>CJ2310 (JSCJ)</t>
        </is>
      </c>
      <c r="V43" s="10" t="inlineStr">
        <is>
          <t>C75882</t>
        </is>
      </c>
      <c r="W43" s="12" t="n">
        <v>156800</v>
      </c>
      <c r="X43" s="15" t="inlineStr">
        <is>
          <t>EQ</t>
        </is>
      </c>
      <c r="Y43" s="11" t="inlineStr">
        <is>
          <t>JSCJ CJ2310 60 V 3 A</t>
        </is>
      </c>
      <c r="Z43" s="10">
        <f>IF(ISNUMBER(J43),IF(J43&gt;=100*C43,1,0),0)+IF(ISNUMBER(R43),IF(R43&gt;=100*C43,1,0),0)+IF(ISNUMBER(W43),IF(W43&gt;=100*C43,1,0),0)</f>
        <v/>
      </c>
    </row>
    <row r="44">
      <c r="A44" s="10" t="n">
        <v>36</v>
      </c>
      <c r="B44" s="11" t="inlineStr">
        <is>
          <t>R1</t>
        </is>
      </c>
      <c r="C44" s="10" t="n">
        <v>1</v>
      </c>
      <c r="D44" s="11" t="inlineStr">
        <is>
          <t>47k</t>
        </is>
      </c>
      <c r="E44" s="11" t="inlineStr">
        <is>
          <t>R_1206_3216Metric</t>
        </is>
      </c>
      <c r="F44" s="11" t="inlineStr">
        <is>
          <t>Standard (1206)</t>
        </is>
      </c>
      <c r="G44" s="10" t="inlineStr">
        <is>
          <t>FRC1206J473 TS</t>
        </is>
      </c>
      <c r="H44" s="10" t="inlineStr">
        <is>
          <t>FOJAN</t>
        </is>
      </c>
      <c r="I44" s="10" t="inlineStr">
        <is>
          <t>C2907507</t>
        </is>
      </c>
      <c r="J44" s="12" t="n">
        <v>771700</v>
      </c>
      <c r="K44" s="12">
        <f>IF(ISNUMBER(J44),INT(J44/C44),0)</f>
        <v/>
      </c>
      <c r="L44" s="13" t="n">
        <v>0.0022</v>
      </c>
      <c r="M44" s="17" t="inlineStr">
        <is>
          <t>LOW</t>
        </is>
      </c>
      <c r="N44" s="11" t="inlineStr">
        <is>
          <t>Stock fine; 2nd/3rd checked.</t>
        </is>
      </c>
      <c r="O44" s="11" t="inlineStr"/>
      <c r="P44" s="11" t="inlineStr">
        <is>
          <t>RC1206FR-0747KL (YAGEO)</t>
        </is>
      </c>
      <c r="Q44" s="10" t="inlineStr">
        <is>
          <t>C137270</t>
        </is>
      </c>
      <c r="R44" s="12" t="n">
        <v>372600</v>
      </c>
      <c r="S44" s="15" t="inlineStr">
        <is>
          <t>EQ</t>
        </is>
      </c>
      <c r="T44" s="11" t="inlineStr">
        <is>
          <t>Yageo RC1206FR-0747KL 1 % (primary is 5 %)</t>
        </is>
      </c>
      <c r="U44" s="11" t="inlineStr">
        <is>
          <t>FRC1206F4702TS (FOJAN)</t>
        </is>
      </c>
      <c r="V44" s="10" t="inlineStr">
        <is>
          <t>C2933708</t>
        </is>
      </c>
      <c r="W44" s="12" t="n">
        <v>296200</v>
      </c>
      <c r="X44" s="15" t="inlineStr">
        <is>
          <t>EQ</t>
        </is>
      </c>
      <c r="Y44" s="11" t="inlineStr">
        <is>
          <t>FOJAN FRC1206F4702TS 1 %</t>
        </is>
      </c>
      <c r="Z44" s="10">
        <f>IF(ISNUMBER(J44),IF(J44&gt;=100*C44,1,0),0)+IF(ISNUMBER(R44),IF(R44&gt;=100*C44,1,0),0)+IF(ISNUMBER(W44),IF(W44&gt;=100*C44,1,0),0)</f>
        <v/>
      </c>
    </row>
    <row r="45">
      <c r="A45" s="10" t="n">
        <v>37</v>
      </c>
      <c r="B45" s="11" t="inlineStr">
        <is>
          <t>R4,R5,R10,R11,R68,R69</t>
        </is>
      </c>
      <c r="C45" s="10" t="n">
        <v>6</v>
      </c>
      <c r="D45" s="11" t="inlineStr">
        <is>
          <t>4R7</t>
        </is>
      </c>
      <c r="E45" s="11" t="inlineStr">
        <is>
          <t>R_0603_1608Metric</t>
        </is>
      </c>
      <c r="F45" s="11" t="inlineStr">
        <is>
          <t>Standard (0603)</t>
        </is>
      </c>
      <c r="G45" s="10" t="inlineStr">
        <is>
          <t>0603WAF470KT5E</t>
        </is>
      </c>
      <c r="H45" s="10" t="inlineStr">
        <is>
          <t>UNI-ROYAL</t>
        </is>
      </c>
      <c r="I45" s="10" t="inlineStr">
        <is>
          <t>C23164</t>
        </is>
      </c>
      <c r="J45" s="12" t="n">
        <v>20900</v>
      </c>
      <c r="K45" s="12">
        <f>IF(ISNUMBER(J45),INT(J45/C45),0)</f>
        <v/>
      </c>
      <c r="L45" s="13" t="n">
        <v>0.0014</v>
      </c>
      <c r="M45" s="17" t="inlineStr">
        <is>
          <t>LOW</t>
        </is>
      </c>
      <c r="N45" s="11" t="inlineStr">
        <is>
          <t>Stock fine; 2nd/3rd checked.</t>
        </is>
      </c>
      <c r="O45" s="11" t="inlineStr"/>
      <c r="P45" s="11" t="inlineStr">
        <is>
          <t>FRC0603F4R70TS (FOJAN)</t>
        </is>
      </c>
      <c r="Q45" s="10" t="inlineStr">
        <is>
          <t>C2907035</t>
        </is>
      </c>
      <c r="R45" s="12" t="n">
        <v>4914100</v>
      </c>
      <c r="S45" s="15" t="inlineStr">
        <is>
          <t>EQ</t>
        </is>
      </c>
      <c r="T45" s="11" t="inlineStr">
        <is>
          <t>FOJAN FRC0603F4R70TS</t>
        </is>
      </c>
      <c r="U45" s="11" t="inlineStr">
        <is>
          <t>RC0603FR-074R7L (YAGEO)</t>
        </is>
      </c>
      <c r="V45" s="10" t="inlineStr">
        <is>
          <t>C137705</t>
        </is>
      </c>
      <c r="W45" s="12" t="n">
        <v>8600</v>
      </c>
      <c r="X45" s="15" t="inlineStr">
        <is>
          <t>EQ</t>
        </is>
      </c>
      <c r="Y45" s="11" t="inlineStr">
        <is>
          <t>Yageo RC0603FR-074R7L</t>
        </is>
      </c>
      <c r="Z45" s="10">
        <f>IF(ISNUMBER(J45),IF(J45&gt;=100*C45,1,0),0)+IF(ISNUMBER(R45),IF(R45&gt;=100*C45,1,0),0)+IF(ISNUMBER(W45),IF(W45&gt;=100*C45,1,0),0)</f>
        <v/>
      </c>
    </row>
    <row r="46">
      <c r="A46" s="10" t="n">
        <v>38</v>
      </c>
      <c r="B46" s="11" t="inlineStr">
        <is>
          <t>R6,R7,R8,R9,R12,R13,R14,R15,R20,R32,R33,R34,R35,R36,R37,R64,R65,R66,R67,R70,R71,R72,R73,R74,R79,R80,R83,R90,R91,R92,R93,R94,R95,R96,R97,R98,R99,R100,R101,R102,R103,R104,R105,R108,R113,R19,R29,R78,R87,R111,R120</t>
        </is>
      </c>
      <c r="C46" s="10" t="n">
        <v>51</v>
      </c>
      <c r="D46" s="11" t="inlineStr">
        <is>
          <t>10k</t>
        </is>
      </c>
      <c r="E46" s="11" t="inlineStr">
        <is>
          <t>R_0402_1005Metric</t>
        </is>
      </c>
      <c r="F46" s="11" t="inlineStr">
        <is>
          <t>Standard (0402)</t>
        </is>
      </c>
      <c r="G46" s="10" t="inlineStr">
        <is>
          <t>FRC0402F1002TS</t>
        </is>
      </c>
      <c r="H46" s="10" t="inlineStr">
        <is>
          <t>FOJAN</t>
        </is>
      </c>
      <c r="I46" s="10" t="inlineStr">
        <is>
          <t>C2906861</t>
        </is>
      </c>
      <c r="J46" s="12" t="n">
        <v>14247200</v>
      </c>
      <c r="K46" s="12">
        <f>IF(ISNUMBER(J46),INT(J46/C46),0)</f>
        <v/>
      </c>
      <c r="L46" s="13" t="n">
        <v>0.0008</v>
      </c>
      <c r="M46" s="17" t="inlineStr">
        <is>
          <t>LOW</t>
        </is>
      </c>
      <c r="N46" s="11" t="inlineStr">
        <is>
          <t>Stock fine; 2nd/3rd checked.</t>
        </is>
      </c>
      <c r="O46" s="11" t="inlineStr"/>
      <c r="P46" s="11" t="inlineStr">
        <is>
          <t>RC0402FR-0710KL (YAGEO)</t>
        </is>
      </c>
      <c r="Q46" s="10" t="inlineStr">
        <is>
          <t>C60490</t>
        </is>
      </c>
      <c r="R46" s="12" t="n">
        <v>431300</v>
      </c>
      <c r="S46" s="15" t="inlineStr">
        <is>
          <t>EQ</t>
        </is>
      </c>
      <c r="T46" s="11" t="inlineStr">
        <is>
          <t>Yageo RC0402FR-0710KL</t>
        </is>
      </c>
      <c r="U46" s="11" t="inlineStr"/>
      <c r="V46" s="10" t="inlineStr"/>
      <c r="W46" s="12" t="n"/>
      <c r="X46" s="18" t="inlineStr"/>
      <c r="Y46" s="11" t="inlineStr">
        <is>
          <t>none in stock on LCSC</t>
        </is>
      </c>
      <c r="Z46" s="10">
        <f>IF(ISNUMBER(J46),IF(J46&gt;=100*C46,1,0),0)+IF(ISNUMBER(R46),IF(R46&gt;=100*C46,1,0),0)+IF(ISNUMBER(W46),IF(W46&gt;=100*C46,1,0),0)</f>
        <v/>
      </c>
    </row>
    <row r="47">
      <c r="A47" s="10" t="n">
        <v>39</v>
      </c>
      <c r="B47" s="11" t="inlineStr">
        <is>
          <t>R16,R18,R86</t>
        </is>
      </c>
      <c r="C47" s="10" t="n">
        <v>3</v>
      </c>
      <c r="D47" s="11" t="inlineStr">
        <is>
          <t>56k 1%</t>
        </is>
      </c>
      <c r="E47" s="11" t="inlineStr">
        <is>
          <t>R_0402_1005Metric</t>
        </is>
      </c>
      <c r="F47" s="11" t="inlineStr">
        <is>
          <t>Standard (0402)</t>
        </is>
      </c>
      <c r="G47" s="10" t="inlineStr">
        <is>
          <t>0402WGF5602TCE</t>
        </is>
      </c>
      <c r="H47" s="10" t="inlineStr">
        <is>
          <t>UNI-ROYAL</t>
        </is>
      </c>
      <c r="I47" s="10" t="inlineStr">
        <is>
          <t>C25796</t>
        </is>
      </c>
      <c r="J47" s="12" t="n">
        <v>13600</v>
      </c>
      <c r="K47" s="12">
        <f>IF(ISNUMBER(J47),INT(J47/C47),0)</f>
        <v/>
      </c>
      <c r="L47" s="13" t="n">
        <v>0.0016</v>
      </c>
      <c r="M47" s="17" t="inlineStr">
        <is>
          <t>LOW</t>
        </is>
      </c>
      <c r="N47" s="11" t="inlineStr">
        <is>
          <t>Stock fine; 2nd/3rd checked.</t>
        </is>
      </c>
      <c r="O47" s="11" t="inlineStr"/>
      <c r="P47" s="11" t="inlineStr">
        <is>
          <t>RC0402FR-0756KL (YAGEO)</t>
        </is>
      </c>
      <c r="Q47" s="10" t="inlineStr">
        <is>
          <t>C114756</t>
        </is>
      </c>
      <c r="R47" s="12" t="n">
        <v>1195200</v>
      </c>
      <c r="S47" s="15" t="inlineStr">
        <is>
          <t>EQ</t>
        </is>
      </c>
      <c r="T47" s="11" t="inlineStr">
        <is>
          <t>Yageo RC0402FR-0756KL</t>
        </is>
      </c>
      <c r="U47" s="11" t="inlineStr">
        <is>
          <t>FRC0402F5602TS (FOJAN)</t>
        </is>
      </c>
      <c r="V47" s="10" t="inlineStr">
        <is>
          <t>C2906875</t>
        </is>
      </c>
      <c r="W47" s="12" t="n">
        <v>728300</v>
      </c>
      <c r="X47" s="15" t="inlineStr">
        <is>
          <t>EQ</t>
        </is>
      </c>
      <c r="Y47" s="11" t="inlineStr">
        <is>
          <t>FOJAN FRC0402F5602TS</t>
        </is>
      </c>
      <c r="Z47" s="10">
        <f>IF(ISNUMBER(J47),IF(J47&gt;=100*C47,1,0),0)+IF(ISNUMBER(R47),IF(R47&gt;=100*C47,1,0),0)+IF(ISNUMBER(W47),IF(W47&gt;=100*C47,1,0),0)</f>
        <v/>
      </c>
    </row>
    <row r="48">
      <c r="A48" s="10" t="n">
        <v>40</v>
      </c>
      <c r="B48" s="11" t="inlineStr">
        <is>
          <t>R17,R88</t>
        </is>
      </c>
      <c r="C48" s="10" t="n">
        <v>2</v>
      </c>
      <c r="D48" s="11" t="inlineStr">
        <is>
          <t>15k 1%</t>
        </is>
      </c>
      <c r="E48" s="11" t="inlineStr">
        <is>
          <t>R_0402_1005Metric</t>
        </is>
      </c>
      <c r="F48" s="11" t="inlineStr">
        <is>
          <t>Standard (0402)</t>
        </is>
      </c>
      <c r="G48" s="10" t="inlineStr">
        <is>
          <t>0402WGF1502TCE</t>
        </is>
      </c>
      <c r="H48" s="10" t="inlineStr">
        <is>
          <t>UNI-ROYAL</t>
        </is>
      </c>
      <c r="I48" s="10" t="inlineStr">
        <is>
          <t>C25756</t>
        </is>
      </c>
      <c r="J48" s="12" t="n">
        <v>1071900</v>
      </c>
      <c r="K48" s="12">
        <f>IF(ISNUMBER(J48),INT(J48/C48),0)</f>
        <v/>
      </c>
      <c r="L48" s="13" t="n">
        <v>0.0005</v>
      </c>
      <c r="M48" s="17" t="inlineStr">
        <is>
          <t>LOW</t>
        </is>
      </c>
      <c r="N48" s="11" t="inlineStr">
        <is>
          <t>Stock fine; 2nd/3rd checked.</t>
        </is>
      </c>
      <c r="O48" s="11" t="inlineStr"/>
      <c r="P48" s="11" t="inlineStr">
        <is>
          <t>RC0402FR-0715KL (YAGEO)</t>
        </is>
      </c>
      <c r="Q48" s="10" t="inlineStr">
        <is>
          <t>C114761</t>
        </is>
      </c>
      <c r="R48" s="12" t="n">
        <v>1482500</v>
      </c>
      <c r="S48" s="15" t="inlineStr">
        <is>
          <t>EQ</t>
        </is>
      </c>
      <c r="T48" s="11" t="inlineStr">
        <is>
          <t>Yageo RC0402FR-0715KL</t>
        </is>
      </c>
      <c r="U48" s="11" t="inlineStr">
        <is>
          <t>FRC0402F1502TS (FOJAN)</t>
        </is>
      </c>
      <c r="V48" s="10" t="inlineStr">
        <is>
          <t>C2909322</t>
        </is>
      </c>
      <c r="W48" s="12" t="n">
        <v>2074900</v>
      </c>
      <c r="X48" s="15" t="inlineStr">
        <is>
          <t>EQ</t>
        </is>
      </c>
      <c r="Y48" s="11" t="inlineStr">
        <is>
          <t>FOJAN FRC0402F1502TS</t>
        </is>
      </c>
      <c r="Z48" s="10">
        <f>IF(ISNUMBER(J48),IF(J48&gt;=100*C48,1,0),0)+IF(ISNUMBER(R48),IF(R48&gt;=100*C48,1,0),0)+IF(ISNUMBER(W48),IF(W48&gt;=100*C48,1,0),0)</f>
        <v/>
      </c>
    </row>
    <row r="49">
      <c r="A49" s="10" t="n">
        <v>41</v>
      </c>
      <c r="B49" s="11" t="inlineStr">
        <is>
          <t>R21,R23</t>
        </is>
      </c>
      <c r="C49" s="10" t="n">
        <v>2</v>
      </c>
      <c r="D49" s="11" t="inlineStr">
        <is>
          <t>100k 0.1%</t>
        </is>
      </c>
      <c r="E49" s="11" t="inlineStr">
        <is>
          <t>R_0603_1608Metric</t>
        </is>
      </c>
      <c r="F49" s="11" t="inlineStr">
        <is>
          <t>Standard (0603)</t>
        </is>
      </c>
      <c r="G49" s="10" t="inlineStr">
        <is>
          <t>RT0603BRD07100KL</t>
        </is>
      </c>
      <c r="H49" s="10" t="inlineStr">
        <is>
          <t>YAGEO</t>
        </is>
      </c>
      <c r="I49" s="10" t="inlineStr">
        <is>
          <t>C122538</t>
        </is>
      </c>
      <c r="J49" s="12" t="n">
        <v>1098200</v>
      </c>
      <c r="K49" s="12">
        <f>IF(ISNUMBER(J49),INT(J49/C49),0)</f>
        <v/>
      </c>
      <c r="L49" s="13" t="n">
        <v>0.0218</v>
      </c>
      <c r="M49" s="17" t="inlineStr">
        <is>
          <t>LOW</t>
        </is>
      </c>
      <c r="N49" s="11" t="inlineStr">
        <is>
          <t>Stock fine; 2nd/3rd checked.</t>
        </is>
      </c>
      <c r="O49" s="11" t="inlineStr"/>
      <c r="P49" s="11" t="inlineStr">
        <is>
          <t>TNPW0603100KBEEA (VISHAY)</t>
        </is>
      </c>
      <c r="Q49" s="10" t="inlineStr">
        <is>
          <t>C844888</t>
        </is>
      </c>
      <c r="R49" s="12" t="n">
        <v>46265</v>
      </c>
      <c r="S49" s="15" t="inlineStr">
        <is>
          <t>EQ</t>
        </is>
      </c>
      <c r="T49" s="11" t="inlineStr">
        <is>
          <t>Vishay TNPW0603100KBEEA 0.1 % 25 ppm</t>
        </is>
      </c>
      <c r="U49" s="11" t="inlineStr">
        <is>
          <t>ERA3AEB104V (PANASONIC)</t>
        </is>
      </c>
      <c r="V49" s="10" t="inlineStr">
        <is>
          <t>C190609</t>
        </is>
      </c>
      <c r="W49" s="12" t="n">
        <v>540</v>
      </c>
      <c r="X49" s="15" t="inlineStr">
        <is>
          <t>EQ</t>
        </is>
      </c>
      <c r="Y49" s="11" t="inlineStr">
        <is>
          <t>Panasonic ERA3AEB104V 0.1 % 25 ppm</t>
        </is>
      </c>
      <c r="Z49" s="10">
        <f>IF(ISNUMBER(J49),IF(J49&gt;=100*C49,1,0),0)+IF(ISNUMBER(R49),IF(R49&gt;=100*C49,1,0),0)+IF(ISNUMBER(W49),IF(W49&gt;=100*C49,1,0),0)</f>
        <v/>
      </c>
    </row>
    <row r="50">
      <c r="A50" s="10" t="n">
        <v>42</v>
      </c>
      <c r="B50" s="11" t="inlineStr">
        <is>
          <t>R22,R24</t>
        </is>
      </c>
      <c r="C50" s="10" t="n">
        <v>2</v>
      </c>
      <c r="D50" s="11" t="inlineStr">
        <is>
          <t>5.1k 0.1%</t>
        </is>
      </c>
      <c r="E50" s="11" t="inlineStr">
        <is>
          <t>R_0402_1005Metric</t>
        </is>
      </c>
      <c r="F50" s="11" t="inlineStr">
        <is>
          <t>Standard (0402)</t>
        </is>
      </c>
      <c r="G50" s="10" t="inlineStr">
        <is>
          <t>RN73H1ETTP5101B25</t>
        </is>
      </c>
      <c r="H50" s="10" t="inlineStr">
        <is>
          <t>KOA</t>
        </is>
      </c>
      <c r="I50" s="10" t="inlineStr">
        <is>
          <t>C186154</t>
        </is>
      </c>
      <c r="J50" s="12" t="n">
        <v>6975</v>
      </c>
      <c r="K50" s="12">
        <f>IF(ISNUMBER(J50),INT(J50/C50),0)</f>
        <v/>
      </c>
      <c r="L50" s="13" t="n">
        <v>0.09470000000000001</v>
      </c>
      <c r="M50" s="17" t="inlineStr">
        <is>
          <t>LOW</t>
        </is>
      </c>
      <c r="N50" s="11" t="inlineStr">
        <is>
          <t>Stock fine; 2nd/3rd checked.</t>
        </is>
      </c>
      <c r="O50" s="11" t="inlineStr"/>
      <c r="P50" s="11" t="inlineStr">
        <is>
          <t>RT0402BRD075K1L (YAGEO)</t>
        </is>
      </c>
      <c r="Q50" s="10" t="inlineStr">
        <is>
          <t>C852856</t>
        </is>
      </c>
      <c r="R50" s="12" t="n">
        <v>15760</v>
      </c>
      <c r="S50" s="15" t="inlineStr">
        <is>
          <t>EQ</t>
        </is>
      </c>
      <c r="T50" s="11" t="inlineStr">
        <is>
          <t>Yageo RT0402BRD075K1L 0.1 % 25 ppm</t>
        </is>
      </c>
      <c r="U50" s="11" t="inlineStr">
        <is>
          <t>TNPW04025K10BEED (VISHAY)</t>
        </is>
      </c>
      <c r="V50" s="10" t="inlineStr">
        <is>
          <t>C2088796</t>
        </is>
      </c>
      <c r="W50" s="12" t="n">
        <v>7905</v>
      </c>
      <c r="X50" s="15" t="inlineStr">
        <is>
          <t>EQ</t>
        </is>
      </c>
      <c r="Y50" s="11" t="inlineStr">
        <is>
          <t>Vishay TNPW04025K10BEED</t>
        </is>
      </c>
      <c r="Z50" s="10">
        <f>IF(ISNUMBER(J50),IF(J50&gt;=100*C50,1,0),0)+IF(ISNUMBER(R50),IF(R50&gt;=100*C50,1,0),0)+IF(ISNUMBER(W50),IF(W50&gt;=100*C50,1,0),0)</f>
        <v/>
      </c>
    </row>
    <row r="51">
      <c r="A51" s="10" t="n">
        <v>43</v>
      </c>
      <c r="B51" s="11" t="inlineStr">
        <is>
          <t>R25,R26</t>
        </is>
      </c>
      <c r="C51" s="10" t="n">
        <v>2</v>
      </c>
      <c r="D51" s="11" t="inlineStr">
        <is>
          <t>1k 0.1%</t>
        </is>
      </c>
      <c r="E51" s="11" t="inlineStr">
        <is>
          <t>R_0402_1005Metric</t>
        </is>
      </c>
      <c r="F51" s="11" t="inlineStr">
        <is>
          <t>Standard (0402)</t>
        </is>
      </c>
      <c r="G51" s="10" t="inlineStr">
        <is>
          <t>RN73H1ETTP1001B25</t>
        </is>
      </c>
      <c r="H51" s="10" t="inlineStr">
        <is>
          <t>KOA</t>
        </is>
      </c>
      <c r="I51" s="10" t="inlineStr">
        <is>
          <t>C186137</t>
        </is>
      </c>
      <c r="J51" s="12" t="n">
        <v>8110</v>
      </c>
      <c r="K51" s="12">
        <f>IF(ISNUMBER(J51),INT(J51/C51),0)</f>
        <v/>
      </c>
      <c r="L51" s="13" t="n">
        <v>0.1296</v>
      </c>
      <c r="M51" s="17" t="inlineStr">
        <is>
          <t>LOW</t>
        </is>
      </c>
      <c r="N51" s="11" t="inlineStr">
        <is>
          <t>Stock fine; 2nd/3rd checked.</t>
        </is>
      </c>
      <c r="O51" s="11" t="inlineStr"/>
      <c r="P51" s="11" t="inlineStr">
        <is>
          <t>RT0402BRD071KL (YAGEO)</t>
        </is>
      </c>
      <c r="Q51" s="10" t="inlineStr">
        <is>
          <t>C852624</t>
        </is>
      </c>
      <c r="R51" s="12" t="n">
        <v>293450</v>
      </c>
      <c r="S51" s="15" t="inlineStr">
        <is>
          <t>EQ</t>
        </is>
      </c>
      <c r="T51" s="11" t="inlineStr">
        <is>
          <t>Yageo RT0402BRD071KL 0.1 % 25 ppm</t>
        </is>
      </c>
      <c r="U51" s="11" t="inlineStr">
        <is>
          <t>ARG02BTC1001 (Viking)</t>
        </is>
      </c>
      <c r="V51" s="10" t="inlineStr">
        <is>
          <t>C2984405</t>
        </is>
      </c>
      <c r="W51" s="12" t="n">
        <v>26950</v>
      </c>
      <c r="X51" s="15" t="inlineStr">
        <is>
          <t>EQ</t>
        </is>
      </c>
      <c r="Y51" s="11" t="inlineStr">
        <is>
          <t>Viking ARG02BTC1001</t>
        </is>
      </c>
      <c r="Z51" s="10">
        <f>IF(ISNUMBER(J51),IF(J51&gt;=100*C51,1,0),0)+IF(ISNUMBER(R51),IF(R51&gt;=100*C51,1,0),0)+IF(ISNUMBER(W51),IF(W51&gt;=100*C51,1,0),0)</f>
        <v/>
      </c>
    </row>
    <row r="52">
      <c r="A52" s="10" t="n">
        <v>44</v>
      </c>
      <c r="B52" s="11" t="inlineStr">
        <is>
          <t>R27</t>
        </is>
      </c>
      <c r="C52" s="10" t="n">
        <v>1</v>
      </c>
      <c r="D52" s="11" t="inlineStr">
        <is>
          <t>100R</t>
        </is>
      </c>
      <c r="E52" s="11" t="inlineStr">
        <is>
          <t>R_0402_1005Metric</t>
        </is>
      </c>
      <c r="F52" s="11" t="inlineStr">
        <is>
          <t>Standard (0402)</t>
        </is>
      </c>
      <c r="G52" s="10" t="inlineStr">
        <is>
          <t>0402WGF1000TCE</t>
        </is>
      </c>
      <c r="H52" s="10" t="inlineStr">
        <is>
          <t>UNI-ROYAL</t>
        </is>
      </c>
      <c r="I52" s="10" t="inlineStr">
        <is>
          <t>C25076</t>
        </is>
      </c>
      <c r="J52" s="12" t="n">
        <v>3045000</v>
      </c>
      <c r="K52" s="12">
        <f>IF(ISNUMBER(J52),INT(J52/C52),0)</f>
        <v/>
      </c>
      <c r="L52" s="13" t="n">
        <v>0.0008</v>
      </c>
      <c r="M52" s="17" t="inlineStr">
        <is>
          <t>LOW</t>
        </is>
      </c>
      <c r="N52" s="11" t="inlineStr">
        <is>
          <t>Stock fine; 2nd/3rd checked.</t>
        </is>
      </c>
      <c r="O52" s="11" t="inlineStr"/>
      <c r="P52" s="11" t="inlineStr">
        <is>
          <t>RC0402FR-07100RL (YAGEO)</t>
        </is>
      </c>
      <c r="Q52" s="10" t="inlineStr">
        <is>
          <t>C106232</t>
        </is>
      </c>
      <c r="R52" s="12" t="n">
        <v>8387000</v>
      </c>
      <c r="S52" s="15" t="inlineStr">
        <is>
          <t>EQ</t>
        </is>
      </c>
      <c r="T52" s="11" t="inlineStr">
        <is>
          <t>Yageo RC0402FR-07100RL</t>
        </is>
      </c>
      <c r="U52" s="11" t="inlineStr">
        <is>
          <t>FRC0402F1000TS (FOJAN)</t>
        </is>
      </c>
      <c r="V52" s="10" t="inlineStr">
        <is>
          <t>C2906860</t>
        </is>
      </c>
      <c r="W52" s="12" t="n">
        <v>7638200</v>
      </c>
      <c r="X52" s="15" t="inlineStr">
        <is>
          <t>EQ</t>
        </is>
      </c>
      <c r="Y52" s="11" t="inlineStr">
        <is>
          <t>FOJAN FRC0402F1000TS</t>
        </is>
      </c>
      <c r="Z52" s="10">
        <f>IF(ISNUMBER(J52),IF(J52&gt;=100*C52,1,0),0)+IF(ISNUMBER(R52),IF(R52&gt;=100*C52,1,0),0)+IF(ISNUMBER(W52),IF(W52&gt;=100*C52,1,0),0)</f>
        <v/>
      </c>
    </row>
    <row r="53">
      <c r="A53" s="10" t="n">
        <v>45</v>
      </c>
      <c r="B53" s="11" t="inlineStr">
        <is>
          <t>R28,R38,R39,R40,R41,R42,R43,R44,R45,R85,R106,R109,R115,R118</t>
        </is>
      </c>
      <c r="C53" s="10" t="n">
        <v>14</v>
      </c>
      <c r="D53" s="11" t="inlineStr">
        <is>
          <t>1k</t>
        </is>
      </c>
      <c r="E53" s="11" t="inlineStr">
        <is>
          <t>R_0402_1005Metric</t>
        </is>
      </c>
      <c r="F53" s="11" t="inlineStr">
        <is>
          <t>Standard (0402)</t>
        </is>
      </c>
      <c r="G53" s="10" t="inlineStr">
        <is>
          <t>0402WGF1001TCE</t>
        </is>
      </c>
      <c r="H53" s="10" t="inlineStr">
        <is>
          <t>UNI-ROYAL</t>
        </is>
      </c>
      <c r="I53" s="10" t="inlineStr">
        <is>
          <t>C11702</t>
        </is>
      </c>
      <c r="J53" s="12" t="n">
        <v>8909200</v>
      </c>
      <c r="K53" s="12">
        <f>IF(ISNUMBER(J53),INT(J53/C53),0)</f>
        <v/>
      </c>
      <c r="L53" s="13" t="n">
        <v>0.0008</v>
      </c>
      <c r="M53" s="17" t="inlineStr">
        <is>
          <t>LOW</t>
        </is>
      </c>
      <c r="N53" s="11" t="inlineStr">
        <is>
          <t>Stock fine; 2nd/3rd checked.</t>
        </is>
      </c>
      <c r="O53" s="11" t="inlineStr"/>
      <c r="P53" s="11" t="inlineStr">
        <is>
          <t>FRC0402F1001TS (FOJAN)</t>
        </is>
      </c>
      <c r="Q53" s="10" t="inlineStr">
        <is>
          <t>C2906864</t>
        </is>
      </c>
      <c r="R53" s="12" t="n">
        <v>14359800</v>
      </c>
      <c r="S53" s="15" t="inlineStr">
        <is>
          <t>EQ</t>
        </is>
      </c>
      <c r="T53" s="11" t="inlineStr">
        <is>
          <t>FOJAN FRC0402F1001TS</t>
        </is>
      </c>
      <c r="U53" s="11" t="inlineStr">
        <is>
          <t>RC0402FR-071KL (YAGEO)</t>
        </is>
      </c>
      <c r="V53" s="10" t="inlineStr">
        <is>
          <t>C106235</t>
        </is>
      </c>
      <c r="W53" s="12" t="n">
        <v>209800</v>
      </c>
      <c r="X53" s="15" t="inlineStr">
        <is>
          <t>EQ</t>
        </is>
      </c>
      <c r="Y53" s="11" t="inlineStr">
        <is>
          <t>Yageo RC0402FR-071KL</t>
        </is>
      </c>
      <c r="Z53" s="10">
        <f>IF(ISNUMBER(J53),IF(J53&gt;=100*C53,1,0),0)+IF(ISNUMBER(R53),IF(R53&gt;=100*C53,1,0),0)+IF(ISNUMBER(W53),IF(W53&gt;=100*C53,1,0),0)</f>
        <v/>
      </c>
    </row>
    <row r="54">
      <c r="A54" s="10" t="n">
        <v>46</v>
      </c>
      <c r="B54" s="11" t="inlineStr">
        <is>
          <t>R30,R31</t>
        </is>
      </c>
      <c r="C54" s="10" t="n">
        <v>2</v>
      </c>
      <c r="D54" s="11" t="inlineStr">
        <is>
          <t>60.4R</t>
        </is>
      </c>
      <c r="E54" s="11" t="inlineStr">
        <is>
          <t>R_0603_1608Metric</t>
        </is>
      </c>
      <c r="F54" s="11" t="inlineStr">
        <is>
          <t>Standard (0603)</t>
        </is>
      </c>
      <c r="G54" s="10" t="inlineStr">
        <is>
          <t>FRC0603F60R4TS</t>
        </is>
      </c>
      <c r="H54" s="10" t="inlineStr">
        <is>
          <t>FOJAN</t>
        </is>
      </c>
      <c r="I54" s="10" t="inlineStr">
        <is>
          <t>C2933247</t>
        </is>
      </c>
      <c r="J54" s="12" t="n">
        <v>423800</v>
      </c>
      <c r="K54" s="12">
        <f>IF(ISNUMBER(J54),INT(J54/C54),0)</f>
        <v/>
      </c>
      <c r="L54" s="13" t="n">
        <v>0.001</v>
      </c>
      <c r="M54" s="17" t="inlineStr">
        <is>
          <t>LOW</t>
        </is>
      </c>
      <c r="N54" s="11" t="inlineStr">
        <is>
          <t>423 k pcs; Yageo 60.4R 2nd; no 3rd in stock.</t>
        </is>
      </c>
      <c r="O54" s="11" t="inlineStr"/>
      <c r="P54" s="11" t="inlineStr">
        <is>
          <t>RC0603FR-0760R4L (YAGEO)</t>
        </is>
      </c>
      <c r="Q54" s="10" t="inlineStr">
        <is>
          <t>C245987</t>
        </is>
      </c>
      <c r="R54" s="12" t="n">
        <v>191800</v>
      </c>
      <c r="S54" s="15" t="inlineStr">
        <is>
          <t>EQ</t>
        </is>
      </c>
      <c r="T54" s="11" t="inlineStr">
        <is>
          <t>Yageo RC0603FR-0760R4L</t>
        </is>
      </c>
      <c r="U54" s="11" t="inlineStr"/>
      <c r="V54" s="10" t="inlineStr"/>
      <c r="W54" s="12" t="n"/>
      <c r="X54" s="18" t="inlineStr"/>
      <c r="Y54" s="11" t="inlineStr">
        <is>
          <t>none in stock on LCSC</t>
        </is>
      </c>
      <c r="Z54" s="10">
        <f>IF(ISNUMBER(J54),IF(J54&gt;=100*C54,1,0),0)+IF(ISNUMBER(R54),IF(R54&gt;=100*C54,1,0),0)+IF(ISNUMBER(W54),IF(W54&gt;=100*C54,1,0),0)</f>
        <v/>
      </c>
    </row>
    <row r="55">
      <c r="A55" s="10" t="n">
        <v>47</v>
      </c>
      <c r="B55" s="11" t="inlineStr">
        <is>
          <t>R62,R63</t>
        </is>
      </c>
      <c r="C55" s="10" t="n">
        <v>2</v>
      </c>
      <c r="D55" s="11" t="inlineStr">
        <is>
          <t>2R2</t>
        </is>
      </c>
      <c r="E55" s="11" t="inlineStr">
        <is>
          <t>R_0603_1608Metric</t>
        </is>
      </c>
      <c r="F55" s="11" t="inlineStr">
        <is>
          <t>Standard (0603)</t>
        </is>
      </c>
      <c r="G55" s="10" t="inlineStr">
        <is>
          <t>FRC0603F2R20TS</t>
        </is>
      </c>
      <c r="H55" s="10" t="inlineStr">
        <is>
          <t>FOJAN</t>
        </is>
      </c>
      <c r="I55" s="10" t="inlineStr">
        <is>
          <t>C2907006</t>
        </is>
      </c>
      <c r="J55" s="12" t="n">
        <v>3848600</v>
      </c>
      <c r="K55" s="12">
        <f>IF(ISNUMBER(J55),INT(J55/C55),0)</f>
        <v/>
      </c>
      <c r="L55" s="13" t="n">
        <v>0.0013</v>
      </c>
      <c r="M55" s="17" t="inlineStr">
        <is>
          <t>LOW</t>
        </is>
      </c>
      <c r="N55" s="11" t="inlineStr">
        <is>
          <t>Stock fine; 2nd/3rd checked.</t>
        </is>
      </c>
      <c r="O55" s="11" t="inlineStr"/>
      <c r="P55" s="11" t="inlineStr">
        <is>
          <t>RC0603FR-072R2L (YAGEO)</t>
        </is>
      </c>
      <c r="Q55" s="10" t="inlineStr">
        <is>
          <t>C112307</t>
        </is>
      </c>
      <c r="R55" s="12" t="n">
        <v>445600</v>
      </c>
      <c r="S55" s="15" t="inlineStr">
        <is>
          <t>EQ</t>
        </is>
      </c>
      <c r="T55" s="11" t="inlineStr">
        <is>
          <t>Yageo RC0603FR-072R2L</t>
        </is>
      </c>
      <c r="U55" s="11" t="inlineStr"/>
      <c r="V55" s="10" t="inlineStr"/>
      <c r="W55" s="12" t="n"/>
      <c r="X55" s="18" t="inlineStr"/>
      <c r="Y55" s="11" t="inlineStr">
        <is>
          <t>none in stock on LCSC</t>
        </is>
      </c>
      <c r="Z55" s="10">
        <f>IF(ISNUMBER(J55),IF(J55&gt;=100*C55,1,0),0)+IF(ISNUMBER(R55),IF(R55&gt;=100*C55,1,0),0)+IF(ISNUMBER(W55),IF(W55&gt;=100*C55,1,0),0)</f>
        <v/>
      </c>
    </row>
    <row r="56">
      <c r="A56" s="10" t="n">
        <v>48</v>
      </c>
      <c r="B56" s="11" t="inlineStr">
        <is>
          <t>R75</t>
        </is>
      </c>
      <c r="C56" s="10" t="n">
        <v>1</v>
      </c>
      <c r="D56" s="11" t="inlineStr">
        <is>
          <t>470k</t>
        </is>
      </c>
      <c r="E56" s="11" t="inlineStr">
        <is>
          <t>R_0603_1608Metric</t>
        </is>
      </c>
      <c r="F56" s="11" t="inlineStr">
        <is>
          <t>Standard (0603)</t>
        </is>
      </c>
      <c r="G56" s="10" t="inlineStr">
        <is>
          <t>0603WAF4703T5E</t>
        </is>
      </c>
      <c r="H56" s="10" t="inlineStr">
        <is>
          <t>UNI-ROYAL</t>
        </is>
      </c>
      <c r="I56" s="10" t="inlineStr">
        <is>
          <t>C23178</t>
        </is>
      </c>
      <c r="J56" s="12" t="n">
        <v>655300</v>
      </c>
      <c r="K56" s="12">
        <f>IF(ISNUMBER(J56),INT(J56/C56),0)</f>
        <v/>
      </c>
      <c r="L56" s="13" t="n">
        <v>0.0014</v>
      </c>
      <c r="M56" s="17" t="inlineStr">
        <is>
          <t>LOW</t>
        </is>
      </c>
      <c r="N56" s="11" t="inlineStr">
        <is>
          <t>Stock fine; 2nd/3rd checked.</t>
        </is>
      </c>
      <c r="O56" s="11" t="inlineStr"/>
      <c r="P56" s="11" t="inlineStr">
        <is>
          <t>RC0603FR-07470KL (YAGEO)</t>
        </is>
      </c>
      <c r="Q56" s="10" t="inlineStr">
        <is>
          <t>C114622</t>
        </is>
      </c>
      <c r="R56" s="12" t="n">
        <v>272700</v>
      </c>
      <c r="S56" s="15" t="inlineStr">
        <is>
          <t>EQ</t>
        </is>
      </c>
      <c r="T56" s="11" t="inlineStr">
        <is>
          <t>Yageo RC0603FR-07470KL</t>
        </is>
      </c>
      <c r="U56" s="11" t="inlineStr">
        <is>
          <t>FRC0603F4703TS (FOJAN)</t>
        </is>
      </c>
      <c r="V56" s="10" t="inlineStr">
        <is>
          <t>C2907040</t>
        </is>
      </c>
      <c r="W56" s="12" t="n">
        <v>2245400</v>
      </c>
      <c r="X56" s="15" t="inlineStr">
        <is>
          <t>EQ</t>
        </is>
      </c>
      <c r="Y56" s="11" t="inlineStr">
        <is>
          <t>FOJAN FRC0603F4703TS</t>
        </is>
      </c>
      <c r="Z56" s="10">
        <f>IF(ISNUMBER(J56),IF(J56&gt;=100*C56,1,0),0)+IF(ISNUMBER(R56),IF(R56&gt;=100*C56,1,0),0)+IF(ISNUMBER(W56),IF(W56&gt;=100*C56,1,0),0)</f>
        <v/>
      </c>
    </row>
    <row r="57">
      <c r="A57" s="10" t="n">
        <v>49</v>
      </c>
      <c r="B57" s="11" t="inlineStr">
        <is>
          <t>R76</t>
        </is>
      </c>
      <c r="C57" s="10" t="n">
        <v>1</v>
      </c>
      <c r="D57" s="11" t="inlineStr">
        <is>
          <t>68k</t>
        </is>
      </c>
      <c r="E57" s="11" t="inlineStr">
        <is>
          <t>R_0402_1005Metric</t>
        </is>
      </c>
      <c r="F57" s="11" t="inlineStr">
        <is>
          <t>Standard (0402)</t>
        </is>
      </c>
      <c r="G57" s="10" t="inlineStr">
        <is>
          <t>0402WGF6802TCE</t>
        </is>
      </c>
      <c r="H57" s="10" t="inlineStr">
        <is>
          <t>UNI-ROYAL</t>
        </is>
      </c>
      <c r="I57" s="10" t="inlineStr">
        <is>
          <t>C36871</t>
        </is>
      </c>
      <c r="J57" s="12" t="n">
        <v>2300</v>
      </c>
      <c r="K57" s="12">
        <f>IF(ISNUMBER(J57),INT(J57/C57),0)</f>
        <v/>
      </c>
      <c r="L57" s="13" t="n">
        <v>0.0011</v>
      </c>
      <c r="M57" s="17" t="inlineStr">
        <is>
          <t>LOW</t>
        </is>
      </c>
      <c r="N57" s="11" t="inlineStr">
        <is>
          <t>Stock fine; 2nd/3rd checked.</t>
        </is>
      </c>
      <c r="O57" s="11" t="inlineStr"/>
      <c r="P57" s="11" t="inlineStr">
        <is>
          <t>RC0402FR-0768KL (YAGEO)</t>
        </is>
      </c>
      <c r="Q57" s="10" t="inlineStr">
        <is>
          <t>C137947</t>
        </is>
      </c>
      <c r="R57" s="12" t="n">
        <v>473100</v>
      </c>
      <c r="S57" s="15" t="inlineStr">
        <is>
          <t>EQ</t>
        </is>
      </c>
      <c r="T57" s="11" t="inlineStr">
        <is>
          <t>Yageo RC0402FR-0768KL</t>
        </is>
      </c>
      <c r="U57" s="11" t="inlineStr">
        <is>
          <t>FRC0402F6802TS (FOJAN)</t>
        </is>
      </c>
      <c r="V57" s="10" t="inlineStr">
        <is>
          <t>C2909379</t>
        </is>
      </c>
      <c r="W57" s="12" t="n">
        <v>1801400</v>
      </c>
      <c r="X57" s="15" t="inlineStr">
        <is>
          <t>EQ</t>
        </is>
      </c>
      <c r="Y57" s="11" t="inlineStr">
        <is>
          <t>FOJAN FRC0402F6802TS</t>
        </is>
      </c>
      <c r="Z57" s="10">
        <f>IF(ISNUMBER(J57),IF(J57&gt;=100*C57,1,0),0)+IF(ISNUMBER(R57),IF(R57&gt;=100*C57,1,0),0)+IF(ISNUMBER(W57),IF(W57&gt;=100*C57,1,0),0)</f>
        <v/>
      </c>
    </row>
    <row r="58">
      <c r="A58" s="10" t="n">
        <v>50</v>
      </c>
      <c r="B58" s="11" t="inlineStr">
        <is>
          <t>R77</t>
        </is>
      </c>
      <c r="C58" s="10" t="n">
        <v>1</v>
      </c>
      <c r="D58" s="11" t="inlineStr">
        <is>
          <t>120k 1%</t>
        </is>
      </c>
      <c r="E58" s="11" t="inlineStr">
        <is>
          <t>R_0402_1005Metric</t>
        </is>
      </c>
      <c r="F58" s="11" t="inlineStr">
        <is>
          <t>Standard (0402)</t>
        </is>
      </c>
      <c r="G58" s="10" t="inlineStr">
        <is>
          <t>0402WGF1203TCE</t>
        </is>
      </c>
      <c r="H58" s="10" t="inlineStr">
        <is>
          <t>UNI-ROYAL</t>
        </is>
      </c>
      <c r="I58" s="10" t="inlineStr">
        <is>
          <t>C25750</t>
        </is>
      </c>
      <c r="J58" s="12" t="n">
        <v>390700</v>
      </c>
      <c r="K58" s="12">
        <f>IF(ISNUMBER(J58),INT(J58/C58),0)</f>
        <v/>
      </c>
      <c r="L58" s="13" t="n">
        <v>0.0005999999999999999</v>
      </c>
      <c r="M58" s="17" t="inlineStr">
        <is>
          <t>LOW</t>
        </is>
      </c>
      <c r="N58" s="11" t="inlineStr">
        <is>
          <t>Stock fine; 2nd/3rd checked.</t>
        </is>
      </c>
      <c r="O58" s="11" t="inlineStr"/>
      <c r="P58" s="11" t="inlineStr">
        <is>
          <t>RC0402FR-07120KL (YAGEO)</t>
        </is>
      </c>
      <c r="Q58" s="10" t="inlineStr">
        <is>
          <t>C93945</t>
        </is>
      </c>
      <c r="R58" s="12" t="n">
        <v>1326500</v>
      </c>
      <c r="S58" s="15" t="inlineStr">
        <is>
          <t>EQ</t>
        </is>
      </c>
      <c r="T58" s="11" t="inlineStr">
        <is>
          <t>Yageo RC0402FR-07120KL</t>
        </is>
      </c>
      <c r="U58" s="11" t="inlineStr">
        <is>
          <t>FRC0402F1203TS (FOJAN)</t>
        </is>
      </c>
      <c r="V58" s="10" t="inlineStr">
        <is>
          <t>C2909314</t>
        </is>
      </c>
      <c r="W58" s="12" t="n">
        <v>1322500</v>
      </c>
      <c r="X58" s="15" t="inlineStr">
        <is>
          <t>EQ</t>
        </is>
      </c>
      <c r="Y58" s="11" t="inlineStr">
        <is>
          <t>FOJAN FRC0402F1203TS</t>
        </is>
      </c>
      <c r="Z58" s="10">
        <f>IF(ISNUMBER(J58),IF(J58&gt;=100*C58,1,0),0)+IF(ISNUMBER(R58),IF(R58&gt;=100*C58,1,0),0)+IF(ISNUMBER(W58),IF(W58&gt;=100*C58,1,0),0)</f>
        <v/>
      </c>
    </row>
    <row r="59">
      <c r="A59" s="10" t="n">
        <v>52</v>
      </c>
      <c r="B59" s="11" t="inlineStr">
        <is>
          <t>R82</t>
        </is>
      </c>
      <c r="C59" s="10" t="n">
        <v>1</v>
      </c>
      <c r="D59" s="11" t="inlineStr">
        <is>
          <t>10k 0.1%</t>
        </is>
      </c>
      <c r="E59" s="11" t="inlineStr">
        <is>
          <t>R_0402_1005Metric</t>
        </is>
      </c>
      <c r="F59" s="11" t="inlineStr">
        <is>
          <t>Standard (0402)</t>
        </is>
      </c>
      <c r="G59" s="10" t="inlineStr">
        <is>
          <t>TNPW040210K0BEED</t>
        </is>
      </c>
      <c r="H59" s="10" t="inlineStr">
        <is>
          <t>VISHAY</t>
        </is>
      </c>
      <c r="I59" s="10" t="inlineStr">
        <is>
          <t>C844452</t>
        </is>
      </c>
      <c r="J59" s="12" t="n">
        <v>55710</v>
      </c>
      <c r="K59" s="12">
        <f>IF(ISNUMBER(J59),INT(J59/C59),0)</f>
        <v/>
      </c>
      <c r="L59" s="13" t="n">
        <v>0.0341</v>
      </c>
      <c r="M59" s="17" t="inlineStr">
        <is>
          <t>LOW</t>
        </is>
      </c>
      <c r="N59" s="11" t="inlineStr">
        <is>
          <t>Stock fine; 2nd/3rd checked.</t>
        </is>
      </c>
      <c r="O59" s="11" t="inlineStr"/>
      <c r="P59" s="11" t="inlineStr">
        <is>
          <t>TC02G1002BT (FH)</t>
        </is>
      </c>
      <c r="Q59" s="10" t="inlineStr">
        <is>
          <t>C2961361</t>
        </is>
      </c>
      <c r="R59" s="12" t="n">
        <v>7510</v>
      </c>
      <c r="S59" s="15" t="inlineStr">
        <is>
          <t>EQ</t>
        </is>
      </c>
      <c r="T59" s="11" t="inlineStr">
        <is>
          <t>FH TC02G1002BT 0.1 % 25 ppm</t>
        </is>
      </c>
      <c r="U59" s="11" t="inlineStr"/>
      <c r="V59" s="10" t="inlineStr"/>
      <c r="W59" s="12" t="n"/>
      <c r="X59" s="18" t="inlineStr"/>
      <c r="Y59" s="11" t="inlineStr">
        <is>
          <t>none in stock on LCSC</t>
        </is>
      </c>
      <c r="Z59" s="10">
        <f>IF(ISNUMBER(J59),IF(J59&gt;=100*C59,1,0),0)+IF(ISNUMBER(R59),IF(R59&gt;=100*C59,1,0),0)+IF(ISNUMBER(W59),IF(W59&gt;=100*C59,1,0),0)</f>
        <v/>
      </c>
    </row>
    <row r="60">
      <c r="A60" s="10" t="n">
        <v>53</v>
      </c>
      <c r="B60" s="11" t="inlineStr">
        <is>
          <t>R84</t>
        </is>
      </c>
      <c r="C60" s="10" t="n">
        <v>1</v>
      </c>
      <c r="D60" s="11" t="inlineStr">
        <is>
          <t>2.2M</t>
        </is>
      </c>
      <c r="E60" s="11" t="inlineStr">
        <is>
          <t>R_0402_1005Metric</t>
        </is>
      </c>
      <c r="F60" s="11" t="inlineStr">
        <is>
          <t>Standard (0402)</t>
        </is>
      </c>
      <c r="G60" s="10" t="inlineStr">
        <is>
          <t>0402WGF2204TCE</t>
        </is>
      </c>
      <c r="H60" s="10" t="inlineStr">
        <is>
          <t>UNI-ROYAL</t>
        </is>
      </c>
      <c r="I60" s="10" t="inlineStr">
        <is>
          <t>C11490</t>
        </is>
      </c>
      <c r="J60" s="12" t="n">
        <v>5900</v>
      </c>
      <c r="K60" s="12">
        <f>IF(ISNUMBER(J60),INT(J60/C60),0)</f>
        <v/>
      </c>
      <c r="L60" s="13" t="n">
        <v>0.0005</v>
      </c>
      <c r="M60" s="17" t="inlineStr">
        <is>
          <t>LOW</t>
        </is>
      </c>
      <c r="N60" s="11" t="inlineStr">
        <is>
          <t>Stock fine; 2nd/3rd checked.</t>
        </is>
      </c>
      <c r="O60" s="11" t="inlineStr"/>
      <c r="P60" s="11" t="inlineStr">
        <is>
          <t>RC0402FR-072M2L (YAGEO)</t>
        </is>
      </c>
      <c r="Q60" s="10" t="inlineStr">
        <is>
          <t>C138015</t>
        </is>
      </c>
      <c r="R60" s="12" t="n">
        <v>115100</v>
      </c>
      <c r="S60" s="15" t="inlineStr">
        <is>
          <t>EQ</t>
        </is>
      </c>
      <c r="T60" s="11" t="inlineStr">
        <is>
          <t>Yageo RC0402FR-072M2L</t>
        </is>
      </c>
      <c r="U60" s="11" t="inlineStr">
        <is>
          <t>FRC0402F2204TS (FOJAN)</t>
        </is>
      </c>
      <c r="V60" s="10" t="inlineStr">
        <is>
          <t>C2998080</t>
        </is>
      </c>
      <c r="W60" s="12" t="n">
        <v>349600</v>
      </c>
      <c r="X60" s="15" t="inlineStr">
        <is>
          <t>EQ</t>
        </is>
      </c>
      <c r="Y60" s="11" t="inlineStr">
        <is>
          <t>FOJAN FRC0402F2204TS</t>
        </is>
      </c>
      <c r="Z60" s="10">
        <f>IF(ISNUMBER(J60),IF(J60&gt;=100*C60,1,0),0)+IF(ISNUMBER(R60),IF(R60&gt;=100*C60,1,0),0)+IF(ISNUMBER(W60),IF(W60&gt;=100*C60,1,0),0)</f>
        <v/>
      </c>
    </row>
    <row r="61">
      <c r="A61" s="10" t="n">
        <v>54</v>
      </c>
      <c r="B61" s="11" t="inlineStr">
        <is>
          <t>R89</t>
        </is>
      </c>
      <c r="C61" s="10" t="n">
        <v>1</v>
      </c>
      <c r="D61" s="11" t="inlineStr">
        <is>
          <t>22R</t>
        </is>
      </c>
      <c r="E61" s="11" t="inlineStr">
        <is>
          <t>R_0402_1005Metric</t>
        </is>
      </c>
      <c r="F61" s="11" t="inlineStr">
        <is>
          <t>Standard (0402)</t>
        </is>
      </c>
      <c r="G61" s="10" t="inlineStr">
        <is>
          <t>FRC0402F22R0TS</t>
        </is>
      </c>
      <c r="H61" s="10" t="inlineStr">
        <is>
          <t>FOJAN</t>
        </is>
      </c>
      <c r="I61" s="10" t="inlineStr">
        <is>
          <t>C2929994</t>
        </is>
      </c>
      <c r="J61" s="12" t="n">
        <v>4263000</v>
      </c>
      <c r="K61" s="12">
        <f>IF(ISNUMBER(J61),INT(J61/C61),0)</f>
        <v/>
      </c>
      <c r="L61" s="13" t="n">
        <v>0.0011</v>
      </c>
      <c r="M61" s="17" t="inlineStr">
        <is>
          <t>LOW</t>
        </is>
      </c>
      <c r="N61" s="11" t="inlineStr">
        <is>
          <t>Stock fine; 2nd/3rd checked.</t>
        </is>
      </c>
      <c r="O61" s="11" t="inlineStr"/>
      <c r="P61" s="11" t="inlineStr">
        <is>
          <t>RC0402FR-0722RL (YAGEO)</t>
        </is>
      </c>
      <c r="Q61" s="10" t="inlineStr">
        <is>
          <t>C114765</t>
        </is>
      </c>
      <c r="R61" s="12" t="n">
        <v>2478600</v>
      </c>
      <c r="S61" s="15" t="inlineStr">
        <is>
          <t>EQ</t>
        </is>
      </c>
      <c r="T61" s="11" t="inlineStr">
        <is>
          <t>Yageo RC0402FR-0722RL</t>
        </is>
      </c>
      <c r="U61" s="11" t="inlineStr"/>
      <c r="V61" s="10" t="inlineStr"/>
      <c r="W61" s="12" t="n"/>
      <c r="X61" s="18" t="inlineStr"/>
      <c r="Y61" s="11" t="inlineStr">
        <is>
          <t>none in stock on LCSC</t>
        </is>
      </c>
      <c r="Z61" s="10">
        <f>IF(ISNUMBER(J61),IF(J61&gt;=100*C61,1,0),0)+IF(ISNUMBER(R61),IF(R61&gt;=100*C61,1,0),0)+IF(ISNUMBER(W61),IF(W61&gt;=100*C61,1,0),0)</f>
        <v/>
      </c>
    </row>
    <row r="62">
      <c r="A62" s="10" t="n">
        <v>55</v>
      </c>
      <c r="B62" s="11" t="inlineStr">
        <is>
          <t>R107</t>
        </is>
      </c>
      <c r="C62" s="10" t="n">
        <v>1</v>
      </c>
      <c r="D62" s="11" t="inlineStr">
        <is>
          <t>100k</t>
        </is>
      </c>
      <c r="E62" s="11" t="inlineStr">
        <is>
          <t>R_0402_1005Metric</t>
        </is>
      </c>
      <c r="F62" s="11" t="inlineStr">
        <is>
          <t>Standard (0402)</t>
        </is>
      </c>
      <c r="G62" s="10" t="inlineStr">
        <is>
          <t>0402WGF1003TCE</t>
        </is>
      </c>
      <c r="H62" s="10" t="inlineStr">
        <is>
          <t>UNI-ROYAL</t>
        </is>
      </c>
      <c r="I62" s="10" t="inlineStr">
        <is>
          <t>C25741</t>
        </is>
      </c>
      <c r="J62" s="12" t="n">
        <v>2245100</v>
      </c>
      <c r="K62" s="12">
        <f>IF(ISNUMBER(J62),INT(J62/C62),0)</f>
        <v/>
      </c>
      <c r="L62" s="13" t="n">
        <v>0.0008</v>
      </c>
      <c r="M62" s="17" t="inlineStr">
        <is>
          <t>LOW</t>
        </is>
      </c>
      <c r="N62" s="11" t="inlineStr">
        <is>
          <t>Stock fine; 2nd/3rd checked.</t>
        </is>
      </c>
      <c r="O62" s="11" t="inlineStr"/>
      <c r="P62" s="11" t="inlineStr">
        <is>
          <t>RC0402FR-07100KL (YAGEO)</t>
        </is>
      </c>
      <c r="Q62" s="10" t="inlineStr">
        <is>
          <t>C60491</t>
        </is>
      </c>
      <c r="R62" s="12" t="n">
        <v>8076400</v>
      </c>
      <c r="S62" s="15" t="inlineStr">
        <is>
          <t>EQ</t>
        </is>
      </c>
      <c r="T62" s="11" t="inlineStr">
        <is>
          <t>Yageo RC0402FR-07100KL</t>
        </is>
      </c>
      <c r="U62" s="11" t="inlineStr">
        <is>
          <t>FRC0402F1003TS (FOJAN)</t>
        </is>
      </c>
      <c r="V62" s="10" t="inlineStr">
        <is>
          <t>C2906859</t>
        </is>
      </c>
      <c r="W62" s="12" t="n">
        <v>4253800</v>
      </c>
      <c r="X62" s="15" t="inlineStr">
        <is>
          <t>EQ</t>
        </is>
      </c>
      <c r="Y62" s="11" t="inlineStr">
        <is>
          <t>FOJAN FRC0402F1003TS</t>
        </is>
      </c>
      <c r="Z62" s="10">
        <f>IF(ISNUMBER(J62),IF(J62&gt;=100*C62,1,0),0)+IF(ISNUMBER(R62),IF(R62&gt;=100*C62,1,0),0)+IF(ISNUMBER(W62),IF(W62&gt;=100*C62,1,0),0)</f>
        <v/>
      </c>
    </row>
    <row r="63">
      <c r="A63" s="10" t="n">
        <v>56</v>
      </c>
      <c r="B63" s="11" t="inlineStr">
        <is>
          <t>R110</t>
        </is>
      </c>
      <c r="C63" s="10" t="n">
        <v>1</v>
      </c>
      <c r="D63" s="11" t="inlineStr">
        <is>
          <t>4.7M</t>
        </is>
      </c>
      <c r="E63" s="11" t="inlineStr">
        <is>
          <t>R_0402_1005Metric</t>
        </is>
      </c>
      <c r="F63" s="11" t="inlineStr">
        <is>
          <t>Standard (0402)</t>
        </is>
      </c>
      <c r="G63" s="10" t="inlineStr">
        <is>
          <t>AC0402FR-074M7L</t>
        </is>
      </c>
      <c r="H63" s="10" t="inlineStr">
        <is>
          <t>YAGEO</t>
        </is>
      </c>
      <c r="I63" s="10" t="inlineStr">
        <is>
          <t>C227116</t>
        </is>
      </c>
      <c r="J63" s="12" t="n">
        <v>4300</v>
      </c>
      <c r="K63" s="12">
        <f>IF(ISNUMBER(J63),INT(J63/C63),0)</f>
        <v/>
      </c>
      <c r="L63" s="13" t="n">
        <v>0.0031</v>
      </c>
      <c r="M63" s="17" t="inlineStr">
        <is>
          <t>LOW</t>
        </is>
      </c>
      <c r="N63" s="11" t="inlineStr">
        <is>
          <t>Stock fine; 2nd/3rd checked.</t>
        </is>
      </c>
      <c r="O63" s="11" t="inlineStr"/>
      <c r="P63" s="11" t="inlineStr">
        <is>
          <t>FRC0402F4704TS (FOJAN)</t>
        </is>
      </c>
      <c r="Q63" s="10" t="inlineStr">
        <is>
          <t>C3013173</t>
        </is>
      </c>
      <c r="R63" s="12" t="n">
        <v>108900</v>
      </c>
      <c r="S63" s="15" t="inlineStr">
        <is>
          <t>EQ</t>
        </is>
      </c>
      <c r="T63" s="11" t="inlineStr">
        <is>
          <t>FOJAN FRC0402F4704TS</t>
        </is>
      </c>
      <c r="U63" s="11" t="inlineStr">
        <is>
          <t>RC0402FR-074M7L (YAGEO)</t>
        </is>
      </c>
      <c r="V63" s="10" t="inlineStr">
        <is>
          <t>C354978</t>
        </is>
      </c>
      <c r="W63" s="12" t="n">
        <v>48400</v>
      </c>
      <c r="X63" s="15" t="inlineStr">
        <is>
          <t>EQ</t>
        </is>
      </c>
      <c r="Y63" s="11" t="inlineStr">
        <is>
          <t>Yageo RC0402FR-074M7L</t>
        </is>
      </c>
      <c r="Z63" s="10">
        <f>IF(ISNUMBER(J63),IF(J63&gt;=100*C63,1,0),0)+IF(ISNUMBER(R63),IF(R63&gt;=100*C63,1,0),0)+IF(ISNUMBER(W63),IF(W63&gt;=100*C63,1,0),0)</f>
        <v/>
      </c>
    </row>
    <row r="64">
      <c r="A64" s="10" t="n">
        <v>57</v>
      </c>
      <c r="B64" s="11" t="inlineStr">
        <is>
          <t>R112</t>
        </is>
      </c>
      <c r="C64" s="10" t="n">
        <v>1</v>
      </c>
      <c r="D64" s="11" t="inlineStr">
        <is>
          <t>10R</t>
        </is>
      </c>
      <c r="E64" s="11" t="inlineStr">
        <is>
          <t>R_0603_1608Metric</t>
        </is>
      </c>
      <c r="F64" s="11" t="inlineStr">
        <is>
          <t>Standard (0603)</t>
        </is>
      </c>
      <c r="G64" s="10" t="inlineStr">
        <is>
          <t>0603WAF100JT5E</t>
        </is>
      </c>
      <c r="H64" s="10" t="inlineStr">
        <is>
          <t>UNI-ROYAL</t>
        </is>
      </c>
      <c r="I64" s="10" t="inlineStr">
        <is>
          <t>C22859</t>
        </is>
      </c>
      <c r="J64" s="12" t="n">
        <v>1142980</v>
      </c>
      <c r="K64" s="12">
        <f>IF(ISNUMBER(J64),INT(J64/C64),0)</f>
        <v/>
      </c>
      <c r="L64" s="13" t="n">
        <v>0.0017</v>
      </c>
      <c r="M64" s="17" t="inlineStr">
        <is>
          <t>LOW</t>
        </is>
      </c>
      <c r="N64" s="11" t="inlineStr">
        <is>
          <t>Stock fine; 2nd/3rd checked.</t>
        </is>
      </c>
      <c r="O64" s="11" t="inlineStr"/>
      <c r="P64" s="11" t="inlineStr">
        <is>
          <t>RC0603FR-0710RL (YAGEO)</t>
        </is>
      </c>
      <c r="Q64" s="10" t="inlineStr">
        <is>
          <t>C109318</t>
        </is>
      </c>
      <c r="R64" s="12" t="n">
        <v>5228200</v>
      </c>
      <c r="S64" s="15" t="inlineStr">
        <is>
          <t>EQ</t>
        </is>
      </c>
      <c r="T64" s="11" t="inlineStr">
        <is>
          <t>Yageo RC0603FR-0710RL</t>
        </is>
      </c>
      <c r="U64" s="11" t="inlineStr">
        <is>
          <t>FRC0603F10R0TS (FOJAN)</t>
        </is>
      </c>
      <c r="V64" s="10" t="inlineStr">
        <is>
          <t>C2906983</t>
        </is>
      </c>
      <c r="W64" s="12" t="n">
        <v>1939500</v>
      </c>
      <c r="X64" s="15" t="inlineStr">
        <is>
          <t>EQ</t>
        </is>
      </c>
      <c r="Y64" s="11" t="inlineStr">
        <is>
          <t>FOJAN FRC0603F10R0TS</t>
        </is>
      </c>
      <c r="Z64" s="10">
        <f>IF(ISNUMBER(J64),IF(J64&gt;=100*C64,1,0),0)+IF(ISNUMBER(R64),IF(R64&gt;=100*C64,1,0),0)+IF(ISNUMBER(W64),IF(W64&gt;=100*C64,1,0),0)</f>
        <v/>
      </c>
    </row>
    <row r="65">
      <c r="A65" s="10" t="n">
        <v>58</v>
      </c>
      <c r="B65" s="11" t="inlineStr">
        <is>
          <t>R114</t>
        </is>
      </c>
      <c r="C65" s="10" t="n">
        <v>1</v>
      </c>
      <c r="D65" s="11" t="inlineStr">
        <is>
          <t>0R5 1%</t>
        </is>
      </c>
      <c r="E65" s="11" t="inlineStr">
        <is>
          <t>R_1206_3216Metric</t>
        </is>
      </c>
      <c r="F65" s="11" t="inlineStr">
        <is>
          <t>Standard (1206)</t>
        </is>
      </c>
      <c r="G65" s="10" t="inlineStr">
        <is>
          <t>1206W4F500LT5E</t>
        </is>
      </c>
      <c r="H65" s="10" t="inlineStr">
        <is>
          <t>UNI-ROYAL</t>
        </is>
      </c>
      <c r="I65" s="10" t="inlineStr">
        <is>
          <t>C25340</t>
        </is>
      </c>
      <c r="J65" s="12" t="n">
        <v>454700</v>
      </c>
      <c r="K65" s="12">
        <f>IF(ISNUMBER(J65),INT(J65/C65),0)</f>
        <v/>
      </c>
      <c r="L65" s="13" t="n">
        <v>0.0041</v>
      </c>
      <c r="M65" s="17" t="inlineStr">
        <is>
          <t>LOW</t>
        </is>
      </c>
      <c r="N65" s="11" t="inlineStr">
        <is>
          <t>Stock fine; 2nd/3rd checked.</t>
        </is>
      </c>
      <c r="O65" s="11" t="inlineStr"/>
      <c r="P65" s="11" t="inlineStr">
        <is>
          <t>RL1206FR-070R5L (YAGEO)</t>
        </is>
      </c>
      <c r="Q65" s="10" t="inlineStr">
        <is>
          <t>C327075</t>
        </is>
      </c>
      <c r="R65" s="12" t="n">
        <v>7000</v>
      </c>
      <c r="S65" s="15" t="inlineStr">
        <is>
          <t>EQ</t>
        </is>
      </c>
      <c r="T65" s="11" t="inlineStr">
        <is>
          <t>Yageo RL1206FR-070R5L</t>
        </is>
      </c>
      <c r="U65" s="11" t="inlineStr">
        <is>
          <t>HP06W2F500LT5E (UNI-ROYAL)</t>
        </is>
      </c>
      <c r="V65" s="10" t="inlineStr">
        <is>
          <t>C2759131</t>
        </is>
      </c>
      <c r="W65" s="12" t="n">
        <v>9680</v>
      </c>
      <c r="X65" s="15" t="inlineStr">
        <is>
          <t>EQ</t>
        </is>
      </c>
      <c r="Y65" s="11" t="inlineStr">
        <is>
          <t>UNI-ROYAL HP06W2F500LT5E 0.5 W</t>
        </is>
      </c>
      <c r="Z65" s="10">
        <f>IF(ISNUMBER(J65),IF(J65&gt;=100*C65,1,0),0)+IF(ISNUMBER(R65),IF(R65&gt;=100*C65,1,0),0)+IF(ISNUMBER(W65),IF(W65&gt;=100*C65,1,0),0)</f>
        <v/>
      </c>
    </row>
    <row r="66">
      <c r="A66" s="10" t="n">
        <v>59</v>
      </c>
      <c r="B66" s="11" t="inlineStr">
        <is>
          <t>R116</t>
        </is>
      </c>
      <c r="C66" s="10" t="n">
        <v>1</v>
      </c>
      <c r="D66" s="11" t="inlineStr">
        <is>
          <t>4k7</t>
        </is>
      </c>
      <c r="E66" s="11" t="inlineStr">
        <is>
          <t>R_1206_3216Metric</t>
        </is>
      </c>
      <c r="F66" s="11" t="inlineStr">
        <is>
          <t>Standard (1206)</t>
        </is>
      </c>
      <c r="G66" s="10" t="inlineStr">
        <is>
          <t>1206W4F4701T5E</t>
        </is>
      </c>
      <c r="H66" s="10" t="inlineStr">
        <is>
          <t>UNI-ROYAL</t>
        </is>
      </c>
      <c r="I66" s="10" t="inlineStr">
        <is>
          <t>C17936</t>
        </is>
      </c>
      <c r="J66" s="12" t="n">
        <v>2003100</v>
      </c>
      <c r="K66" s="12">
        <f>IF(ISNUMBER(J66),INT(J66/C66),0)</f>
        <v/>
      </c>
      <c r="L66" s="13" t="n">
        <v>0.0037</v>
      </c>
      <c r="M66" s="17" t="inlineStr">
        <is>
          <t>LOW</t>
        </is>
      </c>
      <c r="N66" s="11" t="inlineStr">
        <is>
          <t>Stock fine; 2nd/3rd checked.</t>
        </is>
      </c>
      <c r="O66" s="11" t="inlineStr"/>
      <c r="P66" s="11" t="inlineStr">
        <is>
          <t>RC1206FR-074K7L (YAGEO)</t>
        </is>
      </c>
      <c r="Q66" s="10" t="inlineStr">
        <is>
          <t>C137262</t>
        </is>
      </c>
      <c r="R66" s="12" t="n">
        <v>47700</v>
      </c>
      <c r="S66" s="15" t="inlineStr">
        <is>
          <t>EQ</t>
        </is>
      </c>
      <c r="T66" s="11" t="inlineStr">
        <is>
          <t>Yageo RC1206FR-074K7L</t>
        </is>
      </c>
      <c r="U66" s="11" t="inlineStr">
        <is>
          <t>NQ06W4F4701T5E (UNI-ROYAL)</t>
        </is>
      </c>
      <c r="V66" s="10" t="inlineStr">
        <is>
          <t>C965034</t>
        </is>
      </c>
      <c r="W66" s="12" t="n">
        <v>5450</v>
      </c>
      <c r="X66" s="15" t="inlineStr">
        <is>
          <t>EQ</t>
        </is>
      </c>
      <c r="Y66" s="11" t="inlineStr">
        <is>
          <t>UNI-ROYAL NQ06W4F4701T5E</t>
        </is>
      </c>
      <c r="Z66" s="10">
        <f>IF(ISNUMBER(J66),IF(J66&gt;=100*C66,1,0),0)+IF(ISNUMBER(R66),IF(R66&gt;=100*C66,1,0),0)+IF(ISNUMBER(W66),IF(W66&gt;=100*C66,1,0),0)</f>
        <v/>
      </c>
    </row>
    <row r="67">
      <c r="A67" s="10" t="n">
        <v>60</v>
      </c>
      <c r="B67" s="11" t="inlineStr">
        <is>
          <t>R117</t>
        </is>
      </c>
      <c r="C67" s="10" t="n">
        <v>1</v>
      </c>
      <c r="D67" s="11" t="inlineStr">
        <is>
          <t>1k5</t>
        </is>
      </c>
      <c r="E67" s="11" t="inlineStr">
        <is>
          <t>R_0402_1005Metric</t>
        </is>
      </c>
      <c r="F67" s="11" t="inlineStr">
        <is>
          <t>Standard (0402)</t>
        </is>
      </c>
      <c r="G67" s="10" t="inlineStr">
        <is>
          <t>0402WGF1501TCE</t>
        </is>
      </c>
      <c r="H67" s="10" t="inlineStr">
        <is>
          <t>UNI-ROYAL</t>
        </is>
      </c>
      <c r="I67" s="10" t="inlineStr">
        <is>
          <t>C25867</t>
        </is>
      </c>
      <c r="J67" s="12" t="n">
        <v>778200</v>
      </c>
      <c r="K67" s="12">
        <f>IF(ISNUMBER(J67),INT(J67/C67),0)</f>
        <v/>
      </c>
      <c r="L67" s="13" t="n">
        <v>0.0013</v>
      </c>
      <c r="M67" s="17" t="inlineStr">
        <is>
          <t>LOW</t>
        </is>
      </c>
      <c r="N67" s="11" t="inlineStr">
        <is>
          <t>Stock fine; 2nd/3rd checked.</t>
        </is>
      </c>
      <c r="O67" s="11" t="inlineStr"/>
      <c r="P67" s="11" t="inlineStr">
        <is>
          <t>RC0402FR-071K5L (YAGEO)</t>
        </is>
      </c>
      <c r="Q67" s="10" t="inlineStr">
        <is>
          <t>C114759</t>
        </is>
      </c>
      <c r="R67" s="12" t="n">
        <v>965400</v>
      </c>
      <c r="S67" s="15" t="inlineStr">
        <is>
          <t>EQ</t>
        </is>
      </c>
      <c r="T67" s="11" t="inlineStr">
        <is>
          <t>Yageo RC0402FR-071K5L</t>
        </is>
      </c>
      <c r="U67" s="11" t="inlineStr">
        <is>
          <t>FRC0402F1501TS (FOJAN)</t>
        </is>
      </c>
      <c r="V67" s="10" t="inlineStr">
        <is>
          <t>C2933074</t>
        </is>
      </c>
      <c r="W67" s="12" t="n">
        <v>2177800</v>
      </c>
      <c r="X67" s="15" t="inlineStr">
        <is>
          <t>EQ</t>
        </is>
      </c>
      <c r="Y67" s="11" t="inlineStr">
        <is>
          <t>FOJAN FRC0402F1501TS</t>
        </is>
      </c>
      <c r="Z67" s="10">
        <f>IF(ISNUMBER(J67),IF(J67&gt;=100*C67,1,0),0)+IF(ISNUMBER(R67),IF(R67&gt;=100*C67,1,0),0)+IF(ISNUMBER(W67),IF(W67&gt;=100*C67,1,0),0)</f>
        <v/>
      </c>
    </row>
    <row r="68">
      <c r="A68" s="10" t="n">
        <v>61</v>
      </c>
      <c r="B68" s="11" t="inlineStr">
        <is>
          <t>R119</t>
        </is>
      </c>
      <c r="C68" s="10" t="n">
        <v>1</v>
      </c>
      <c r="D68" s="11" t="inlineStr">
        <is>
          <t>30k 1%</t>
        </is>
      </c>
      <c r="E68" s="11" t="inlineStr">
        <is>
          <t>R_0402_1005Metric</t>
        </is>
      </c>
      <c r="F68" s="11" t="inlineStr">
        <is>
          <t>Standard (0402)</t>
        </is>
      </c>
      <c r="G68" s="10" t="inlineStr">
        <is>
          <t>0402WGF3002TCE</t>
        </is>
      </c>
      <c r="H68" s="10" t="inlineStr">
        <is>
          <t>UNI-ROYAL</t>
        </is>
      </c>
      <c r="I68" s="10" t="inlineStr">
        <is>
          <t>C25776</t>
        </is>
      </c>
      <c r="J68" s="12" t="n">
        <v>1408700</v>
      </c>
      <c r="K68" s="12">
        <f>IF(ISNUMBER(J68),INT(J68/C68),0)</f>
        <v/>
      </c>
      <c r="L68" s="13" t="n">
        <v>0.0008</v>
      </c>
      <c r="M68" s="17" t="inlineStr">
        <is>
          <t>LOW</t>
        </is>
      </c>
      <c r="N68" s="11" t="inlineStr">
        <is>
          <t>Stock fine; 2nd/3rd checked.</t>
        </is>
      </c>
      <c r="O68" s="11" t="inlineStr"/>
      <c r="P68" s="11" t="inlineStr">
        <is>
          <t>RC0402FR-0730KL (YAGEO)</t>
        </is>
      </c>
      <c r="Q68" s="10" t="inlineStr">
        <is>
          <t>C138008</t>
        </is>
      </c>
      <c r="R68" s="12" t="n">
        <v>307000</v>
      </c>
      <c r="S68" s="15" t="inlineStr">
        <is>
          <t>EQ</t>
        </is>
      </c>
      <c r="T68" s="11" t="inlineStr">
        <is>
          <t>Yageo RC0402FR-0730KL</t>
        </is>
      </c>
      <c r="U68" s="11" t="inlineStr">
        <is>
          <t>FRC0402F3002TS (FOJAN)</t>
        </is>
      </c>
      <c r="V68" s="10" t="inlineStr">
        <is>
          <t>C2909347</t>
        </is>
      </c>
      <c r="W68" s="12" t="n">
        <v>1724400</v>
      </c>
      <c r="X68" s="15" t="inlineStr">
        <is>
          <t>EQ</t>
        </is>
      </c>
      <c r="Y68" s="11" t="inlineStr">
        <is>
          <t>FOJAN FRC0402F3002TS</t>
        </is>
      </c>
      <c r="Z68" s="10">
        <f>IF(ISNUMBER(J68),IF(J68&gt;=100*C68,1,0),0)+IF(ISNUMBER(R68),IF(R68&gt;=100*C68,1,0),0)+IF(ISNUMBER(W68),IF(W68&gt;=100*C68,1,0),0)</f>
        <v/>
      </c>
    </row>
    <row r="69">
      <c r="A69" s="10" t="n">
        <v>62</v>
      </c>
      <c r="B69" s="11" t="inlineStr">
        <is>
          <t>R121</t>
        </is>
      </c>
      <c r="C69" s="10" t="n">
        <v>1</v>
      </c>
      <c r="D69" s="11" t="inlineStr">
        <is>
          <t>4k7</t>
        </is>
      </c>
      <c r="E69" s="11" t="inlineStr">
        <is>
          <t>R_0402_1005Metric</t>
        </is>
      </c>
      <c r="F69" s="11" t="inlineStr">
        <is>
          <t>Standard (0402)</t>
        </is>
      </c>
      <c r="G69" s="10" t="inlineStr">
        <is>
          <t>0402WGF4701TCE</t>
        </is>
      </c>
      <c r="H69" s="10" t="inlineStr">
        <is>
          <t>UNI-ROYAL</t>
        </is>
      </c>
      <c r="I69" s="10" t="inlineStr">
        <is>
          <t>C25900</t>
        </is>
      </c>
      <c r="J69" s="12" t="n">
        <v>8383200</v>
      </c>
      <c r="K69" s="12">
        <f>IF(ISNUMBER(J69),INT(J69/C69),0)</f>
        <v/>
      </c>
      <c r="L69" s="13" t="n">
        <v>0.0011</v>
      </c>
      <c r="M69" s="17" t="inlineStr">
        <is>
          <t>LOW</t>
        </is>
      </c>
      <c r="N69" s="11" t="inlineStr">
        <is>
          <t>Stock fine; 2nd/3rd checked.</t>
        </is>
      </c>
      <c r="O69" s="11" t="inlineStr"/>
      <c r="P69" s="11" t="inlineStr">
        <is>
          <t>RC0402FR-074K7L (YAGEO)</t>
        </is>
      </c>
      <c r="Q69" s="10" t="inlineStr">
        <is>
          <t>C105871</t>
        </is>
      </c>
      <c r="R69" s="12" t="n">
        <v>7531300</v>
      </c>
      <c r="S69" s="15" t="inlineStr">
        <is>
          <t>EQ</t>
        </is>
      </c>
      <c r="T69" s="11" t="inlineStr">
        <is>
          <t>Yageo RC0402FR-074K7L</t>
        </is>
      </c>
      <c r="U69" s="11" t="inlineStr">
        <is>
          <t>CQ02WGF4701TCE (UNI-ROYAL)</t>
        </is>
      </c>
      <c r="V69" s="10" t="inlineStr">
        <is>
          <t>C2765614</t>
        </is>
      </c>
      <c r="W69" s="12" t="n">
        <v>89400</v>
      </c>
      <c r="X69" s="15" t="inlineStr">
        <is>
          <t>EQ</t>
        </is>
      </c>
      <c r="Y69" s="11" t="inlineStr">
        <is>
          <t>UNI-ROYAL CQ02WGF4701TCE</t>
        </is>
      </c>
      <c r="Z69" s="10">
        <f>IF(ISNUMBER(J69),IF(J69&gt;=100*C69,1,0),0)+IF(ISNUMBER(R69),IF(R69&gt;=100*C69,1,0),0)+IF(ISNUMBER(W69),IF(W69&gt;=100*C69,1,0),0)</f>
        <v/>
      </c>
    </row>
    <row r="70">
      <c r="A70" s="10" t="n">
        <v>63</v>
      </c>
      <c r="B70" s="11" t="inlineStr">
        <is>
          <t>R123,R124,R125,R126,R127,R128</t>
        </is>
      </c>
      <c r="C70" s="10" t="n">
        <v>6</v>
      </c>
      <c r="D70" s="11" t="inlineStr">
        <is>
          <t>0402WGF475JTCE</t>
        </is>
      </c>
      <c r="E70" s="11" t="inlineStr">
        <is>
          <t>R_0402_1005Metric</t>
        </is>
      </c>
      <c r="F70" s="11" t="inlineStr">
        <is>
          <t>Standard (0402)</t>
        </is>
      </c>
      <c r="G70" s="10" t="inlineStr">
        <is>
          <t>0402WGF475JTCE</t>
        </is>
      </c>
      <c r="H70" s="10" t="inlineStr">
        <is>
          <t>UNI-ROYAL</t>
        </is>
      </c>
      <c r="I70" s="10" t="inlineStr">
        <is>
          <t>C82290</t>
        </is>
      </c>
      <c r="J70" s="12" t="n">
        <v>10000</v>
      </c>
      <c r="K70" s="12">
        <f>IF(ISNUMBER(J70),INT(J70/C70),0)</f>
        <v/>
      </c>
      <c r="L70" s="13" t="n">
        <v>0.0013</v>
      </c>
      <c r="M70" s="17" t="inlineStr">
        <is>
          <t>LOW</t>
        </is>
      </c>
      <c r="N70" s="11" t="inlineStr">
        <is>
          <t>Stock fine; 2nd/3rd checked.</t>
        </is>
      </c>
      <c r="O70" s="11" t="inlineStr"/>
      <c r="P70" s="11" t="inlineStr">
        <is>
          <t>FRC0402F47R5TS (FOJAN)</t>
        </is>
      </c>
      <c r="Q70" s="10" t="inlineStr">
        <is>
          <t>C5159689</t>
        </is>
      </c>
      <c r="R70" s="12" t="n">
        <v>2400</v>
      </c>
      <c r="S70" s="15" t="inlineStr">
        <is>
          <t>EQ</t>
        </is>
      </c>
      <c r="T70" s="11" t="inlineStr">
        <is>
          <t>FOJAN FRC0402F47R5TS 47.5 R 1% 0402 62.5 mW</t>
        </is>
      </c>
      <c r="U70" s="11" t="inlineStr">
        <is>
          <t>RTT0247R5FTH (RALEC)</t>
        </is>
      </c>
      <c r="V70" s="10" t="inlineStr">
        <is>
          <t>C159023</t>
        </is>
      </c>
      <c r="W70" s="12" t="n">
        <v>9900</v>
      </c>
      <c r="X70" s="15" t="inlineStr">
        <is>
          <t>EQ</t>
        </is>
      </c>
      <c r="Y70" s="11" t="inlineStr">
        <is>
          <t>RALEC RTT0247R5FTH 47.5 R 1% 0402 62.5 mW</t>
        </is>
      </c>
      <c r="Z70" s="10">
        <f>IF(ISNUMBER(J70),IF(J70&gt;=100*C70,1,0),0)+IF(ISNUMBER(R70),IF(R70&gt;=100*C70,1,0),0)+IF(ISNUMBER(W70),IF(W70&gt;=100*C70,1,0),0)</f>
        <v/>
      </c>
    </row>
    <row r="71">
      <c r="A71" s="10" t="n">
        <v>64</v>
      </c>
      <c r="B71" s="11" t="inlineStr">
        <is>
          <t>R129</t>
        </is>
      </c>
      <c r="C71" s="10" t="n">
        <v>1</v>
      </c>
      <c r="D71" s="11" t="inlineStr">
        <is>
          <t>FRC0603F2R00TS</t>
        </is>
      </c>
      <c r="E71" s="11" t="inlineStr">
        <is>
          <t>R_0603_1608Metric</t>
        </is>
      </c>
      <c r="F71" s="11" t="inlineStr">
        <is>
          <t>Standard (0603)</t>
        </is>
      </c>
      <c r="G71" s="10" t="inlineStr">
        <is>
          <t>FRC0603F2R00TS</t>
        </is>
      </c>
      <c r="H71" s="10" t="inlineStr">
        <is>
          <t>FOJAN</t>
        </is>
      </c>
      <c r="I71" s="10" t="inlineStr">
        <is>
          <t>C2933191</t>
        </is>
      </c>
      <c r="J71" s="12" t="n">
        <v>2259500</v>
      </c>
      <c r="K71" s="12">
        <f>IF(ISNUMBER(J71),INT(J71/C71),0)</f>
        <v/>
      </c>
      <c r="L71" s="13" t="n">
        <v>0.0022</v>
      </c>
      <c r="M71" s="17" t="inlineStr">
        <is>
          <t>LOW</t>
        </is>
      </c>
      <c r="N71" s="11" t="inlineStr">
        <is>
          <t>Stock fine; 2nd/3rd checked.</t>
        </is>
      </c>
      <c r="O71" s="11" t="inlineStr"/>
      <c r="P71" s="11" t="inlineStr">
        <is>
          <t>RC0603FR-7W2RL (YAGEO)</t>
        </is>
      </c>
      <c r="Q71" s="10" t="inlineStr">
        <is>
          <t>C2930558</t>
        </is>
      </c>
      <c r="R71" s="12" t="n">
        <v>17600</v>
      </c>
      <c r="S71" s="15" t="inlineStr">
        <is>
          <t>EQ</t>
        </is>
      </c>
      <c r="T71" s="11" t="inlineStr">
        <is>
          <t>YAGEO RC0603FR-7W2RL 2 R 1% 0603 200 mW</t>
        </is>
      </c>
      <c r="U71" s="11" t="inlineStr"/>
      <c r="V71" s="10" t="inlineStr"/>
      <c r="W71" s="12" t="n"/>
      <c r="X71" s="18" t="inlineStr"/>
      <c r="Y71" s="11" t="inlineStr">
        <is>
          <t>none in stock on LCSC</t>
        </is>
      </c>
      <c r="Z71" s="10">
        <f>IF(ISNUMBER(J71),IF(J71&gt;=100*C71,1,0),0)+IF(ISNUMBER(R71),IF(R71&gt;=100*C71,1,0),0)+IF(ISNUMBER(W71),IF(W71&gt;=100*C71,1,0),0)</f>
        <v/>
      </c>
    </row>
    <row r="72">
      <c r="A72" s="10" t="n">
        <v>65</v>
      </c>
      <c r="B72" s="11" t="inlineStr">
        <is>
          <t>RS1</t>
        </is>
      </c>
      <c r="C72" s="10" t="n">
        <v>1</v>
      </c>
      <c r="D72" s="11" t="inlineStr">
        <is>
          <t>HoJLR2512-3W-4mR-1%</t>
        </is>
      </c>
      <c r="E72" s="11" t="inlineStr">
        <is>
          <t>R_2512_6332Metric</t>
        </is>
      </c>
      <c r="F72" s="11" t="inlineStr">
        <is>
          <t>Standard (2512)</t>
        </is>
      </c>
      <c r="G72" s="10" t="inlineStr">
        <is>
          <t>HoJLR2512-3W-4mR-1%</t>
        </is>
      </c>
      <c r="H72" s="10" t="inlineStr">
        <is>
          <t>Milliohm</t>
        </is>
      </c>
      <c r="I72" s="10" t="inlineStr">
        <is>
          <t>C2904236</t>
        </is>
      </c>
      <c r="J72" s="12" t="n">
        <v>21240</v>
      </c>
      <c r="K72" s="12">
        <f>IF(ISNUMBER(J72),INT(J72/C72),0)</f>
        <v/>
      </c>
      <c r="L72" s="13" t="n">
        <v>0.0415</v>
      </c>
      <c r="M72" s="17" t="inlineStr">
        <is>
          <t>LOW</t>
        </is>
      </c>
      <c r="N72" s="11" t="inlineStr">
        <is>
          <t>Stock fine; 2nd/3rd checked.</t>
        </is>
      </c>
      <c r="O72" s="11" t="inlineStr"/>
      <c r="P72" s="11" t="inlineStr">
        <is>
          <t>HoLR2512-3W-4mR-1%-15ppm (Milliohm)</t>
        </is>
      </c>
      <c r="Q72" s="10" t="inlineStr">
        <is>
          <t>C2908366</t>
        </is>
      </c>
      <c r="R72" s="12" t="n">
        <v>3915</v>
      </c>
      <c r="S72" s="15" t="inlineStr">
        <is>
          <t>EQ</t>
        </is>
      </c>
      <c r="T72" s="11" t="inlineStr">
        <is>
          <t>Milliohm HoLR2512-3W-4mR-1%-15ppm</t>
        </is>
      </c>
      <c r="U72" s="11" t="inlineStr">
        <is>
          <t>LR2512D-3W-4mR-1% (Milliohm)</t>
        </is>
      </c>
      <c r="V72" s="10" t="inlineStr">
        <is>
          <t>C500738</t>
        </is>
      </c>
      <c r="W72" s="12" t="n">
        <v>3680</v>
      </c>
      <c r="X72" s="15" t="inlineStr">
        <is>
          <t>EQ</t>
        </is>
      </c>
      <c r="Y72" s="11" t="inlineStr">
        <is>
          <t>previous primary (low / no stock)</t>
        </is>
      </c>
      <c r="Z72" s="10">
        <f>IF(ISNUMBER(J72),IF(J72&gt;=100*C72,1,0),0)+IF(ISNUMBER(R72),IF(R72&gt;=100*C72,1,0),0)+IF(ISNUMBER(W72),IF(W72&gt;=100*C72,1,0),0)</f>
        <v/>
      </c>
    </row>
    <row r="73">
      <c r="A73" s="10" t="n">
        <v>66</v>
      </c>
      <c r="B73" s="11" t="inlineStr">
        <is>
          <t>RSH1</t>
        </is>
      </c>
      <c r="C73" s="10" t="n">
        <v>1</v>
      </c>
      <c r="D73" s="11" t="inlineStr">
        <is>
          <t>10m 1% 1W</t>
        </is>
      </c>
      <c r="E73" s="11" t="inlineStr">
        <is>
          <t>R_2512_6332Metric</t>
        </is>
      </c>
      <c r="F73" s="11" t="inlineStr">
        <is>
          <t>Standard (2512)</t>
        </is>
      </c>
      <c r="G73" s="10" t="inlineStr">
        <is>
          <t>GX2512-2W-10mR-1%</t>
        </is>
      </c>
      <c r="H73" s="10" t="inlineStr">
        <is>
          <t>Milliohm</t>
        </is>
      </c>
      <c r="I73" s="10" t="inlineStr">
        <is>
          <t>C500718</t>
        </is>
      </c>
      <c r="J73" s="12" t="n">
        <v>2140</v>
      </c>
      <c r="K73" s="12">
        <f>IF(ISNUMBER(J73),INT(J73/C73),0)</f>
        <v/>
      </c>
      <c r="L73" s="13" t="n">
        <v>0.0414</v>
      </c>
      <c r="M73" s="17" t="inlineStr">
        <is>
          <t>LOW</t>
        </is>
      </c>
      <c r="N73" s="11" t="inlineStr">
        <is>
          <t>Stock fine; 2nd/3rd checked.</t>
        </is>
      </c>
      <c r="O73" s="11" t="inlineStr"/>
      <c r="P73" s="11" t="inlineStr">
        <is>
          <t>HoYLR2512-3W-10mR-1% (Milliohm)</t>
        </is>
      </c>
      <c r="Q73" s="10" t="inlineStr">
        <is>
          <t>C5375464</t>
        </is>
      </c>
      <c r="R73" s="12" t="n">
        <v>223160</v>
      </c>
      <c r="S73" s="15" t="inlineStr">
        <is>
          <t>EQ</t>
        </is>
      </c>
      <c r="T73" s="11" t="inlineStr">
        <is>
          <t>Milliohm HoYLR2512-3W-10mR-1%</t>
        </is>
      </c>
      <c r="U73" s="11" t="inlineStr">
        <is>
          <t>HoLLR2512-3W-10mR-1% (Milliohm)</t>
        </is>
      </c>
      <c r="V73" s="10" t="inlineStr">
        <is>
          <t>C2994644</t>
        </is>
      </c>
      <c r="W73" s="12" t="n">
        <v>4180</v>
      </c>
      <c r="X73" s="15" t="inlineStr">
        <is>
          <t>EQ</t>
        </is>
      </c>
      <c r="Y73" s="11" t="inlineStr">
        <is>
          <t>Milliohm HoLLR2512-3W-10mR-1%</t>
        </is>
      </c>
      <c r="Z73" s="10">
        <f>IF(ISNUMBER(J73),IF(J73&gt;=100*C73,1,0),0)+IF(ISNUMBER(R73),IF(R73&gt;=100*C73,1,0),0)+IF(ISNUMBER(W73),IF(W73&gt;=100*C73,1,0),0)</f>
        <v/>
      </c>
    </row>
    <row r="74">
      <c r="A74" s="10" t="n">
        <v>67</v>
      </c>
      <c r="B74" s="11" t="inlineStr">
        <is>
          <t>SW1</t>
        </is>
      </c>
      <c r="C74" s="10" t="n">
        <v>1</v>
      </c>
      <c r="D74" s="11" t="inlineStr">
        <is>
          <t>DIP-6</t>
        </is>
      </c>
      <c r="E74" s="11" t="inlineStr">
        <is>
          <t>SW_DIP_SPSTx06_Slide_6.7x16.8mm_W8.61mm_P2.54mm_LowProfile</t>
        </is>
      </c>
      <c r="F74" s="11" t="inlineStr">
        <is>
          <t>De-facto standard (many makers) (2.54 mm SMD DIP)</t>
        </is>
      </c>
      <c r="G74" s="10" t="inlineStr">
        <is>
          <t>2.54-6P TPGT</t>
        </is>
      </c>
      <c r="H74" s="10" t="inlineStr">
        <is>
          <t>SHOU HAN</t>
        </is>
      </c>
      <c r="I74" s="10" t="inlineStr">
        <is>
          <t>C6331172</t>
        </is>
      </c>
      <c r="J74" s="12" t="n">
        <v>11262</v>
      </c>
      <c r="K74" s="12">
        <f>IF(ISNUMBER(J74),INT(J74/C74),0)</f>
        <v/>
      </c>
      <c r="L74" s="13" t="n">
        <v>0.3527</v>
      </c>
      <c r="M74" s="17" t="inlineStr">
        <is>
          <t>LOW</t>
        </is>
      </c>
      <c r="N74" s="11" t="inlineStr">
        <is>
          <t>11,262 pcs; HX TPGT clone (2,002 pcs) is the same body.</t>
        </is>
      </c>
      <c r="O74" s="11" t="inlineStr"/>
      <c r="P74" s="11" t="inlineStr">
        <is>
          <t>HX 2.54-6P TPGT (hanxia)</t>
        </is>
      </c>
      <c r="Q74" s="10" t="inlineStr">
        <is>
          <t>C19189100</t>
        </is>
      </c>
      <c r="R74" s="12" t="n">
        <v>2002</v>
      </c>
      <c r="S74" s="15" t="inlineStr">
        <is>
          <t>EQ</t>
        </is>
      </c>
      <c r="T74" s="11" t="inlineStr">
        <is>
          <t>hanxia HX 2.54-6P TPGT (same 6.15x15.24 TPGT body; primary land 1.1 x 2.2 mm, rows 6.6 / 11 mm = footprint)</t>
        </is>
      </c>
      <c r="U74" s="11" t="inlineStr">
        <is>
          <t>DM-06-V-T/R (Diptronics)</t>
        </is>
      </c>
      <c r="V74" s="10" t="inlineStr">
        <is>
          <t>C225006</t>
        </is>
      </c>
      <c r="W74" s="12" t="n">
        <v>4401</v>
      </c>
      <c r="X74" s="16" t="inlineStr">
        <is>
          <t>CHK</t>
        </is>
      </c>
      <c r="Y74" s="11" t="inlineStr">
        <is>
          <t>Diptronics DM-06-V-T/R 6-pos 2.54 SMD - confirm row spacing vs footprint</t>
        </is>
      </c>
      <c r="Z74" s="10">
        <f>IF(ISNUMBER(J74),IF(J74&gt;=100*C74,1,0),0)+IF(ISNUMBER(R74),IF(R74&gt;=100*C74,1,0),0)+IF(ISNUMBER(W74),IF(W74&gt;=100*C74,1,0),0)</f>
        <v/>
      </c>
    </row>
    <row r="75">
      <c r="A75" s="10" t="n">
        <v>69</v>
      </c>
      <c r="B75" s="11" t="inlineStr">
        <is>
          <t>TH1</t>
        </is>
      </c>
      <c r="C75" s="10" t="n">
        <v>1</v>
      </c>
      <c r="D75" s="11" t="inlineStr">
        <is>
          <t>10k B3950</t>
        </is>
      </c>
      <c r="E75" s="11" t="inlineStr">
        <is>
          <t>R_0603_1608Metric</t>
        </is>
      </c>
      <c r="F75" s="11" t="inlineStr">
        <is>
          <t>Standard (0603)</t>
        </is>
      </c>
      <c r="G75" s="10" t="inlineStr">
        <is>
          <t>KNTC0603/10KF3950</t>
        </is>
      </c>
      <c r="H75" s="10" t="inlineStr">
        <is>
          <t>KUU</t>
        </is>
      </c>
      <c r="I75" s="10" t="inlineStr">
        <is>
          <t>C2892547</t>
        </is>
      </c>
      <c r="J75" s="12" t="n">
        <v>109660</v>
      </c>
      <c r="K75" s="12">
        <f>IF(ISNUMBER(J75),INT(J75/C75),0)</f>
        <v/>
      </c>
      <c r="L75" s="13" t="n">
        <v>0.0133</v>
      </c>
      <c r="M75" s="17" t="inlineStr">
        <is>
          <t>LOW</t>
        </is>
      </c>
      <c r="N75" s="11" t="inlineStr">
        <is>
          <t>Stock fine; 2nd/3rd checked.</t>
        </is>
      </c>
      <c r="O75" s="11" t="inlineStr"/>
      <c r="P75" s="11" t="inlineStr">
        <is>
          <t>HNTC0603-103F3950FB (R+O)</t>
        </is>
      </c>
      <c r="Q75" s="10" t="inlineStr">
        <is>
          <t>C49247666</t>
        </is>
      </c>
      <c r="R75" s="12" t="n">
        <v>50770</v>
      </c>
      <c r="S75" s="15" t="inlineStr">
        <is>
          <t>EQ</t>
        </is>
      </c>
      <c r="T75" s="11" t="inlineStr">
        <is>
          <t>R+O HNTC0603-103F3950FB 10k 1 % B25/50 3950</t>
        </is>
      </c>
      <c r="U75" s="11" t="inlineStr">
        <is>
          <t>ANTC1608-103F3950FB (APV)</t>
        </is>
      </c>
      <c r="V75" s="10" t="inlineStr">
        <is>
          <t>C52155406</t>
        </is>
      </c>
      <c r="W75" s="12" t="n">
        <v>5620</v>
      </c>
      <c r="X75" s="15" t="inlineStr">
        <is>
          <t>EQ</t>
        </is>
      </c>
      <c r="Y75" s="11" t="inlineStr">
        <is>
          <t>APV ANTC1608-103F3950FB 10k 1 % B3950</t>
        </is>
      </c>
      <c r="Z75" s="10">
        <f>IF(ISNUMBER(J75),IF(J75&gt;=100*C75,1,0),0)+IF(ISNUMBER(R75),IF(R75&gt;=100*C75,1,0),0)+IF(ISNUMBER(W75),IF(W75&gt;=100*C75,1,0),0)</f>
        <v/>
      </c>
    </row>
    <row r="76">
      <c r="A76" s="10" t="n">
        <v>71</v>
      </c>
      <c r="B76" s="11" t="inlineStr">
        <is>
          <t>U4,U13</t>
        </is>
      </c>
      <c r="C76" s="10" t="n">
        <v>2</v>
      </c>
      <c r="D76" s="11" t="inlineStr">
        <is>
          <t>LMR16006XDDCR</t>
        </is>
      </c>
      <c r="E76" s="11" t="inlineStr">
        <is>
          <t>SOT-23-6</t>
        </is>
      </c>
      <c r="F76" s="11" t="inlineStr">
        <is>
          <t>Standard (SOT-23-6)</t>
        </is>
      </c>
      <c r="G76" s="10" t="inlineStr">
        <is>
          <t>LMR16006XDDCR</t>
        </is>
      </c>
      <c r="H76" s="10" t="inlineStr">
        <is>
          <t>TI</t>
        </is>
      </c>
      <c r="I76" s="10" t="inlineStr">
        <is>
          <t>C87080</t>
        </is>
      </c>
      <c r="J76" s="12" t="n">
        <v>43365</v>
      </c>
      <c r="K76" s="12">
        <f>IF(ISNUMBER(J76),INT(J76/C76),0)</f>
        <v/>
      </c>
      <c r="L76" s="13" t="n">
        <v>0.3314</v>
      </c>
      <c r="M76" s="17" t="inlineStr">
        <is>
          <t>LOW</t>
        </is>
      </c>
      <c r="N76" s="11" t="inlineStr">
        <is>
          <t>Stock fine; 2nd/3rd checked.</t>
        </is>
      </c>
      <c r="O76" s="11" t="inlineStr"/>
      <c r="P76" s="11" t="inlineStr">
        <is>
          <t>LV2862XLVDDCR (TI)</t>
        </is>
      </c>
      <c r="Q76" s="10" t="inlineStr">
        <is>
          <t>C3200285</t>
        </is>
      </c>
      <c r="R76" s="12" t="n">
        <v>34923</v>
      </c>
      <c r="S76" s="17" t="inlineStr">
        <is>
          <t>DS</t>
        </is>
      </c>
      <c r="T76" s="11" t="inlineStr">
        <is>
          <t>TI LV2862XLVDDCR: same pinout (CB GND FB EN VIN SW), 0.765 V FB, 60 V, 770 kHz; EN threshold 1.25 V -&gt; U13 UVLO ~10 V instead of ~12 V</t>
        </is>
      </c>
      <c r="U76" s="11" t="inlineStr">
        <is>
          <t>LMR16006YDDCR (TI)</t>
        </is>
      </c>
      <c r="V76" s="10" t="inlineStr">
        <is>
          <t>C290195</t>
        </is>
      </c>
      <c r="W76" s="12" t="n">
        <v>20508</v>
      </c>
      <c r="X76" s="17" t="inlineStr">
        <is>
          <t>DS</t>
        </is>
      </c>
      <c r="Y76" s="11" t="inlineStr">
        <is>
          <t>TI LMR16006YDDCR 2.1 MHz: same pinout; 47 uH fine; U13 at 48 V runs near min on-time</t>
        </is>
      </c>
      <c r="Z76" s="10">
        <f>IF(ISNUMBER(J76),IF(J76&gt;=100*C76,1,0),0)+IF(ISNUMBER(R76),IF(R76&gt;=100*C76,1,0),0)+IF(ISNUMBER(W76),IF(W76&gt;=100*C76,1,0),0)</f>
        <v/>
      </c>
    </row>
    <row r="77">
      <c r="A77" s="10" t="n">
        <v>72</v>
      </c>
      <c r="B77" s="11" t="inlineStr">
        <is>
          <t>U5</t>
        </is>
      </c>
      <c r="C77" s="10" t="n">
        <v>1</v>
      </c>
      <c r="D77" s="11" t="inlineStr">
        <is>
          <t>TLV75533PDBVR</t>
        </is>
      </c>
      <c r="E77" s="11" t="inlineStr">
        <is>
          <t>SOT-23-5</t>
        </is>
      </c>
      <c r="F77" s="11" t="inlineStr">
        <is>
          <t>Standard (SOT-23-5)</t>
        </is>
      </c>
      <c r="G77" s="10" t="inlineStr">
        <is>
          <t>TLV75533PDBVR</t>
        </is>
      </c>
      <c r="H77" s="10" t="inlineStr">
        <is>
          <t>TI</t>
        </is>
      </c>
      <c r="I77" s="10" t="inlineStr">
        <is>
          <t>C404027</t>
        </is>
      </c>
      <c r="J77" s="12" t="n">
        <v>114670</v>
      </c>
      <c r="K77" s="12">
        <f>IF(ISNUMBER(J77),INT(J77/C77),0)</f>
        <v/>
      </c>
      <c r="L77" s="13" t="n">
        <v>0.0659</v>
      </c>
      <c r="M77" s="17" t="inlineStr">
        <is>
          <t>LOW</t>
        </is>
      </c>
      <c r="N77" s="11" t="inlineStr">
        <is>
          <t>Stock fine; 2nd/3rd checked.</t>
        </is>
      </c>
      <c r="O77" s="11" t="inlineStr"/>
      <c r="P77" s="11" t="inlineStr">
        <is>
          <t>TLV75733PDBVR (TI)</t>
        </is>
      </c>
      <c r="Q77" s="10" t="inlineStr">
        <is>
          <t>C485517</t>
        </is>
      </c>
      <c r="R77" s="12" t="n">
        <v>57390</v>
      </c>
      <c r="S77" s="17" t="inlineStr">
        <is>
          <t>DS</t>
        </is>
      </c>
      <c r="T77" s="11" t="inlineStr">
        <is>
          <t>TI TLV75733PDBVR (1 A, same pinout)</t>
        </is>
      </c>
      <c r="U77" s="11" t="inlineStr">
        <is>
          <t>RT9013-33GB (RICHTEK)</t>
        </is>
      </c>
      <c r="V77" s="10" t="inlineStr">
        <is>
          <t>C47773</t>
        </is>
      </c>
      <c r="W77" s="12" t="n">
        <v>273255</v>
      </c>
      <c r="X77" s="17" t="inlineStr">
        <is>
          <t>DS</t>
        </is>
      </c>
      <c r="Y77" s="11" t="inlineStr">
        <is>
          <t>Richtek RT9013-33GB: VIN GND EN NC VOUT = same, 5.5 V max (input is +5V)</t>
        </is>
      </c>
      <c r="Z77" s="10">
        <f>IF(ISNUMBER(J77),IF(J77&gt;=100*C77,1,0),0)+IF(ISNUMBER(R77),IF(R77&gt;=100*C77,1,0),0)+IF(ISNUMBER(W77),IF(W77&gt;=100*C77,1,0),0)</f>
        <v/>
      </c>
    </row>
    <row r="78">
      <c r="A78" s="10" t="n">
        <v>73</v>
      </c>
      <c r="B78" s="11" t="inlineStr">
        <is>
          <t>U7</t>
        </is>
      </c>
      <c r="C78" s="10" t="n">
        <v>1</v>
      </c>
      <c r="D78" s="11" t="inlineStr">
        <is>
          <t>INA181A1IDBVR</t>
        </is>
      </c>
      <c r="E78" s="11" t="inlineStr">
        <is>
          <t>SOT-23-6</t>
        </is>
      </c>
      <c r="F78" s="11" t="inlineStr">
        <is>
          <t>Standard (SOT-23-6)</t>
        </is>
      </c>
      <c r="G78" s="10" t="inlineStr">
        <is>
          <t>INA181A1IDBVR</t>
        </is>
      </c>
      <c r="H78" s="10" t="inlineStr">
        <is>
          <t>TI</t>
        </is>
      </c>
      <c r="I78" s="10" t="inlineStr">
        <is>
          <t>C2058943</t>
        </is>
      </c>
      <c r="J78" s="12" t="n">
        <v>5213</v>
      </c>
      <c r="K78" s="12">
        <f>IF(ISNUMBER(J78),INT(J78/C78),0)</f>
        <v/>
      </c>
      <c r="L78" s="13" t="n">
        <v>0.2538</v>
      </c>
      <c r="M78" s="17" t="inlineStr">
        <is>
          <t>LOW</t>
        </is>
      </c>
      <c r="N78" s="11" t="inlineStr">
        <is>
          <t>Stock fine; 2nd/3rd checked.</t>
        </is>
      </c>
      <c r="O78" s="11" t="inlineStr"/>
      <c r="P78" s="11" t="inlineStr">
        <is>
          <t>INA181A1IDBVT (TI)</t>
        </is>
      </c>
      <c r="Q78" s="10" t="inlineStr">
        <is>
          <t>C2861997</t>
        </is>
      </c>
      <c r="R78" s="12" t="n">
        <v>514</v>
      </c>
      <c r="S78" s="15" t="inlineStr">
        <is>
          <t>EQ</t>
        </is>
      </c>
      <c r="T78" s="11" t="inlineStr">
        <is>
          <t>TI INA181A1IDBVT (same part, small reel)</t>
        </is>
      </c>
      <c r="U78" s="11" t="inlineStr">
        <is>
          <t>INA181A1IDBVR(XBLW) (XBLW)</t>
        </is>
      </c>
      <c r="V78" s="10" t="inlineStr">
        <is>
          <t>C45351496</t>
        </is>
      </c>
      <c r="W78" s="12" t="n">
        <v>4285</v>
      </c>
      <c r="X78" s="16" t="inlineStr">
        <is>
          <t>CHK</t>
        </is>
      </c>
      <c r="Y78" s="11" t="inlineStr">
        <is>
          <t>XBLW INA181A1IDBVR clone - confirm gain error</t>
        </is>
      </c>
      <c r="Z78" s="10">
        <f>IF(ISNUMBER(J78),IF(J78&gt;=100*C78,1,0),0)+IF(ISNUMBER(R78),IF(R78&gt;=100*C78,1,0),0)+IF(ISNUMBER(W78),IF(W78&gt;=100*C78,1,0),0)</f>
        <v/>
      </c>
    </row>
    <row r="79">
      <c r="A79" s="10" t="n">
        <v>74</v>
      </c>
      <c r="B79" s="11" t="inlineStr">
        <is>
          <t>U8</t>
        </is>
      </c>
      <c r="C79" s="10" t="n">
        <v>1</v>
      </c>
      <c r="D79" s="11" t="inlineStr">
        <is>
          <t>INA181A2IDBVR</t>
        </is>
      </c>
      <c r="E79" s="11" t="inlineStr">
        <is>
          <t>SOT-23-6</t>
        </is>
      </c>
      <c r="F79" s="11" t="inlineStr">
        <is>
          <t>Standard (SOT-23-6)</t>
        </is>
      </c>
      <c r="G79" s="10" t="inlineStr">
        <is>
          <t>INA181A2IDBVR</t>
        </is>
      </c>
      <c r="H79" s="10" t="inlineStr">
        <is>
          <t>TI</t>
        </is>
      </c>
      <c r="I79" s="10" t="inlineStr">
        <is>
          <t>C2058784</t>
        </is>
      </c>
      <c r="J79" s="12" t="n">
        <v>55660</v>
      </c>
      <c r="K79" s="12">
        <f>IF(ISNUMBER(J79),INT(J79/C79),0)</f>
        <v/>
      </c>
      <c r="L79" s="13" t="n">
        <v>0.1946</v>
      </c>
      <c r="M79" s="17" t="inlineStr">
        <is>
          <t>LOW</t>
        </is>
      </c>
      <c r="N79" s="11" t="inlineStr">
        <is>
          <t>Stock fine; 2nd/3rd checked.</t>
        </is>
      </c>
      <c r="O79" s="11" t="inlineStr"/>
      <c r="P79" s="11" t="inlineStr">
        <is>
          <t>INA181A2IDBVT (TI)</t>
        </is>
      </c>
      <c r="Q79" s="10" t="inlineStr">
        <is>
          <t>C116200</t>
        </is>
      </c>
      <c r="R79" s="12" t="n">
        <v>1074</v>
      </c>
      <c r="S79" s="15" t="inlineStr">
        <is>
          <t>EQ</t>
        </is>
      </c>
      <c r="T79" s="11" t="inlineStr">
        <is>
          <t>TI INA181A2IDBVT (same part, small reel)</t>
        </is>
      </c>
      <c r="U79" s="11" t="inlineStr">
        <is>
          <t>INA181A2IDBVR(LX) (lingxingic)</t>
        </is>
      </c>
      <c r="V79" s="10" t="inlineStr">
        <is>
          <t>C53198613</t>
        </is>
      </c>
      <c r="W79" s="12" t="n">
        <v>2655</v>
      </c>
      <c r="X79" s="16" t="inlineStr">
        <is>
          <t>CHK</t>
        </is>
      </c>
      <c r="Y79" s="11" t="inlineStr">
        <is>
          <t>lingxingic INA181A2 clone - confirm gain error</t>
        </is>
      </c>
      <c r="Z79" s="10">
        <f>IF(ISNUMBER(J79),IF(J79&gt;=100*C79,1,0),0)+IF(ISNUMBER(R79),IF(R79&gt;=100*C79,1,0),0)+IF(ISNUMBER(W79),IF(W79&gt;=100*C79,1,0),0)</f>
        <v/>
      </c>
    </row>
    <row r="80">
      <c r="A80" s="10" t="n">
        <v>76</v>
      </c>
      <c r="B80" s="11" t="inlineStr">
        <is>
          <t>U11</t>
        </is>
      </c>
      <c r="C80" s="10" t="n">
        <v>1</v>
      </c>
      <c r="D80" s="11" t="inlineStr">
        <is>
          <t>UCC27524DR</t>
        </is>
      </c>
      <c r="E80" s="11" t="inlineStr">
        <is>
          <t>SOIC-8_3.9x4.9mm_P1.27mm</t>
        </is>
      </c>
      <c r="F80" s="11" t="inlineStr">
        <is>
          <t>Standard (SOIC-8)</t>
        </is>
      </c>
      <c r="G80" s="10" t="inlineStr">
        <is>
          <t>UCC27524DR</t>
        </is>
      </c>
      <c r="H80" s="10" t="inlineStr">
        <is>
          <t>TI</t>
        </is>
      </c>
      <c r="I80" s="10" t="inlineStr">
        <is>
          <t>C465729</t>
        </is>
      </c>
      <c r="J80" s="12" t="n">
        <v>17531</v>
      </c>
      <c r="K80" s="12">
        <f>IF(ISNUMBER(J80),INT(J80/C80),0)</f>
        <v/>
      </c>
      <c r="L80" s="13" t="n">
        <v>0.2077</v>
      </c>
      <c r="M80" s="17" t="inlineStr">
        <is>
          <t>LOW</t>
        </is>
      </c>
      <c r="N80" s="11" t="inlineStr">
        <is>
          <t>Stock fine; 2nd/3rd checked.</t>
        </is>
      </c>
      <c r="O80" s="11" t="inlineStr"/>
      <c r="P80" s="11" t="inlineStr">
        <is>
          <t>UCC27524ADR (TI)</t>
        </is>
      </c>
      <c r="Q80" s="10" t="inlineStr">
        <is>
          <t>C185857</t>
        </is>
      </c>
      <c r="R80" s="12" t="n">
        <v>26155</v>
      </c>
      <c r="S80" s="17" t="inlineStr">
        <is>
          <t>DS</t>
        </is>
      </c>
      <c r="T80" s="11" t="inlineStr">
        <is>
          <t>TI UCC27524ADR (same pinout ENA INA GND INB OUTB VDD OUTA ENB)</t>
        </is>
      </c>
      <c r="U80" s="11" t="inlineStr">
        <is>
          <t>UCC27524DR(UMW) (UMW)</t>
        </is>
      </c>
      <c r="V80" s="10" t="inlineStr">
        <is>
          <t>C20623206</t>
        </is>
      </c>
      <c r="W80" s="12" t="n">
        <v>3055</v>
      </c>
      <c r="X80" s="17" t="inlineStr">
        <is>
          <t>DS</t>
        </is>
      </c>
      <c r="Y80" s="11" t="inlineStr">
        <is>
          <t>UMW UCC27524DR - datasheet states pin-to-pin with 27524</t>
        </is>
      </c>
      <c r="Z80" s="10">
        <f>IF(ISNUMBER(J80),IF(J80&gt;=100*C80,1,0),0)+IF(ISNUMBER(R80),IF(R80&gt;=100*C80,1,0),0)+IF(ISNUMBER(W80),IF(W80&gt;=100*C80,1,0),0)</f>
        <v/>
      </c>
    </row>
    <row r="81">
      <c r="A81" s="10" t="n">
        <v>78</v>
      </c>
      <c r="B81" s="11" t="inlineStr">
        <is>
          <t>U14</t>
        </is>
      </c>
      <c r="C81" s="10" t="n">
        <v>1</v>
      </c>
      <c r="D81" s="11" t="inlineStr">
        <is>
          <t>AMS1117-5.0</t>
        </is>
      </c>
      <c r="E81" s="11" t="inlineStr">
        <is>
          <t>SOT-223-3_TabPin2</t>
        </is>
      </c>
      <c r="F81" s="11" t="inlineStr">
        <is>
          <t>Standard (SOT-223)</t>
        </is>
      </c>
      <c r="G81" s="10" t="inlineStr">
        <is>
          <t>AMS1117-5.0</t>
        </is>
      </c>
      <c r="H81" s="10" t="inlineStr">
        <is>
          <t>Advanced Monolithic Systems</t>
        </is>
      </c>
      <c r="I81" s="10" t="inlineStr">
        <is>
          <t>C6187</t>
        </is>
      </c>
      <c r="J81" s="12" t="n">
        <v>6670</v>
      </c>
      <c r="K81" s="12">
        <f>IF(ISNUMBER(J81),INT(J81/C81),0)</f>
        <v/>
      </c>
      <c r="L81" s="13" t="n">
        <v>0.127</v>
      </c>
      <c r="M81" s="17" t="inlineStr">
        <is>
          <t>LOW</t>
        </is>
      </c>
      <c r="N81" s="11" t="inlineStr">
        <is>
          <t>Stock fine; 2nd/3rd checked.</t>
        </is>
      </c>
      <c r="O81" s="11" t="inlineStr"/>
      <c r="P81" s="11" t="inlineStr">
        <is>
          <t>AMS1117-5.0 (GOODWORK)</t>
        </is>
      </c>
      <c r="Q81" s="10" t="inlineStr">
        <is>
          <t>C6068482</t>
        </is>
      </c>
      <c r="R81" s="12" t="n">
        <v>52680</v>
      </c>
      <c r="S81" s="15" t="inlineStr">
        <is>
          <t>EQ</t>
        </is>
      </c>
      <c r="T81" s="11" t="inlineStr">
        <is>
          <t>GOODWORK AMS1117-5.0 (same part no.)</t>
        </is>
      </c>
      <c r="U81" s="11" t="inlineStr">
        <is>
          <t>LD1117-5.0 (UMW)</t>
        </is>
      </c>
      <c r="V81" s="10" t="inlineStr">
        <is>
          <t>C347230</t>
        </is>
      </c>
      <c r="W81" s="12" t="n">
        <v>98350</v>
      </c>
      <c r="X81" s="15" t="inlineStr">
        <is>
          <t>EQ</t>
        </is>
      </c>
      <c r="Y81" s="11" t="inlineStr">
        <is>
          <t>UMW LD1117-5.0 (GND OUT IN, 15 V max; input +10V_P)</t>
        </is>
      </c>
      <c r="Z81" s="10">
        <f>IF(ISNUMBER(J81),IF(J81&gt;=100*C81,1,0),0)+IF(ISNUMBER(R81),IF(R81&gt;=100*C81,1,0),0)+IF(ISNUMBER(W81),IF(W81&gt;=100*C81,1,0),0)</f>
        <v/>
      </c>
    </row>
    <row r="82">
      <c r="A82" s="10" t="n">
        <v>79</v>
      </c>
      <c r="B82" s="11" t="inlineStr">
        <is>
          <t>U15,U17,U18</t>
        </is>
      </c>
      <c r="C82" s="10" t="n">
        <v>3</v>
      </c>
      <c r="D82" s="11" t="inlineStr">
        <is>
          <t>LMV331IDBVR</t>
        </is>
      </c>
      <c r="E82" s="11" t="inlineStr">
        <is>
          <t>SOT-23-5</t>
        </is>
      </c>
      <c r="F82" s="11" t="inlineStr">
        <is>
          <t>Standard (SOT-23-5)</t>
        </is>
      </c>
      <c r="G82" s="10" t="inlineStr">
        <is>
          <t>LMV331IDBVR</t>
        </is>
      </c>
      <c r="H82" s="10" t="inlineStr">
        <is>
          <t>TI</t>
        </is>
      </c>
      <c r="I82" s="10" t="inlineStr">
        <is>
          <t>C34731</t>
        </is>
      </c>
      <c r="J82" s="12" t="n">
        <v>144505</v>
      </c>
      <c r="K82" s="12">
        <f>IF(ISNUMBER(J82),INT(J82/C82),0)</f>
        <v/>
      </c>
      <c r="L82" s="13" t="n">
        <v>0.0672</v>
      </c>
      <c r="M82" s="17" t="inlineStr">
        <is>
          <t>LOW</t>
        </is>
      </c>
      <c r="N82" s="11" t="inlineStr">
        <is>
          <t>Stock fine; 2nd/3rd checked.</t>
        </is>
      </c>
      <c r="O82" s="11" t="inlineStr"/>
      <c r="P82" s="11" t="inlineStr">
        <is>
          <t>LMV331X-S5TR (3PEAK)</t>
        </is>
      </c>
      <c r="Q82" s="10" t="inlineStr">
        <is>
          <t>C38943276</t>
        </is>
      </c>
      <c r="R82" s="12" t="n">
        <v>35930</v>
      </c>
      <c r="S82" s="17" t="inlineStr">
        <is>
          <t>DS</t>
        </is>
      </c>
      <c r="T82" s="11" t="inlineStr">
        <is>
          <t>3PEAK LMV331X-S5TR: open-drain, pinout +IN -VS -IN OUT +VS = TI DBV, 35.9 k pcs</t>
        </is>
      </c>
      <c r="U82" s="11" t="inlineStr">
        <is>
          <t>LMV331ILT (ST)</t>
        </is>
      </c>
      <c r="V82" s="10" t="inlineStr">
        <is>
          <t>C672259</t>
        </is>
      </c>
      <c r="W82" s="12" t="n">
        <v>2635</v>
      </c>
      <c r="X82" s="17" t="inlineStr">
        <is>
          <t>DS</t>
        </is>
      </c>
      <c r="Y82" s="11" t="inlineStr">
        <is>
          <t>ST LMV331ILT: open-drain, same SOT23-5 pinout</t>
        </is>
      </c>
      <c r="Z82" s="10">
        <f>IF(ISNUMBER(J82),IF(J82&gt;=100*C82,1,0),0)+IF(ISNUMBER(R82),IF(R82&gt;=100*C82,1,0),0)+IF(ISNUMBER(W82),IF(W82&gt;=100*C82,1,0),0)</f>
        <v/>
      </c>
    </row>
    <row r="83">
      <c r="A83" s="10" t="n">
        <v>80</v>
      </c>
      <c r="B83" s="11" t="inlineStr">
        <is>
          <t>U16,U22</t>
        </is>
      </c>
      <c r="C83" s="10" t="n">
        <v>2</v>
      </c>
      <c r="D83" s="11" t="inlineStr">
        <is>
          <t>TL431AIDBZR</t>
        </is>
      </c>
      <c r="E83" s="11" t="inlineStr">
        <is>
          <t>SOT-23</t>
        </is>
      </c>
      <c r="F83" s="11" t="inlineStr">
        <is>
          <t>Standard (SOT-23)</t>
        </is>
      </c>
      <c r="G83" s="10" t="inlineStr">
        <is>
          <t>TL431AIDBZR</t>
        </is>
      </c>
      <c r="H83" s="10" t="inlineStr">
        <is>
          <t>TI</t>
        </is>
      </c>
      <c r="I83" s="10" t="inlineStr">
        <is>
          <t>C23892</t>
        </is>
      </c>
      <c r="J83" s="12" t="n">
        <v>121415</v>
      </c>
      <c r="K83" s="12">
        <f>IF(ISNUMBER(J83),INT(J83/C83),0)</f>
        <v/>
      </c>
      <c r="L83" s="13" t="n">
        <v>0.0449</v>
      </c>
      <c r="M83" s="17" t="inlineStr">
        <is>
          <t>LOW</t>
        </is>
      </c>
      <c r="N83" s="11" t="inlineStr">
        <is>
          <t>Stock fine; 2nd/3rd checked.</t>
        </is>
      </c>
      <c r="O83" s="11" t="inlineStr"/>
      <c r="P83" s="11" t="inlineStr">
        <is>
          <t>TL431AIDBZR(UMW) (UMW)</t>
        </is>
      </c>
      <c r="Q83" s="10" t="inlineStr">
        <is>
          <t>C29780634</t>
        </is>
      </c>
      <c r="R83" s="12" t="n">
        <v>12440</v>
      </c>
      <c r="S83" s="17" t="inlineStr">
        <is>
          <t>DS</t>
        </is>
      </c>
      <c r="T83" s="11" t="inlineStr">
        <is>
          <t>UMW TL431AIDBZR: 1=K 2=REF 3=A = TI DBZ (U22 needs this pinout)</t>
        </is>
      </c>
      <c r="U83" s="11" t="inlineStr">
        <is>
          <t>TL431AIDBZR,215 (Nexperia)</t>
        </is>
      </c>
      <c r="V83" s="10" t="inlineStr">
        <is>
          <t>C79737</t>
        </is>
      </c>
      <c r="W83" s="12" t="n">
        <v>4385</v>
      </c>
      <c r="X83" s="17" t="inlineStr">
        <is>
          <t>DS</t>
        </is>
      </c>
      <c r="Y83" s="11" t="inlineStr">
        <is>
          <t>Nexperia TL431AIDBZR,215 'normal pinning' 1=K 2=REF 3=A (not the MFDT mirrored type)</t>
        </is>
      </c>
      <c r="Z83" s="10">
        <f>IF(ISNUMBER(J83),IF(J83&gt;=100*C83,1,0),0)+IF(ISNUMBER(R83),IF(R83&gt;=100*C83,1,0),0)+IF(ISNUMBER(W83),IF(W83&gt;=100*C83,1,0),0)</f>
        <v/>
      </c>
    </row>
    <row r="84">
      <c r="A84" s="10" t="n">
        <v>81</v>
      </c>
      <c r="B84" s="11" t="inlineStr">
        <is>
          <t>U20</t>
        </is>
      </c>
      <c r="C84" s="10" t="n">
        <v>1</v>
      </c>
      <c r="D84" s="11" t="inlineStr">
        <is>
          <t>UC3843BVD1R2G</t>
        </is>
      </c>
      <c r="E84" s="11" t="inlineStr">
        <is>
          <t>SOIC-8_3.9x4.9mm_P1.27mm</t>
        </is>
      </c>
      <c r="F84" s="11" t="inlineStr">
        <is>
          <t>Standard (SOIC-8)</t>
        </is>
      </c>
      <c r="G84" s="10" t="inlineStr">
        <is>
          <t>UC3843BVD1R2G</t>
        </is>
      </c>
      <c r="H84" s="10" t="inlineStr">
        <is>
          <t>onsemi</t>
        </is>
      </c>
      <c r="I84" s="10" t="inlineStr">
        <is>
          <t>C231572</t>
        </is>
      </c>
      <c r="J84" s="12" t="n">
        <v>22345</v>
      </c>
      <c r="K84" s="12">
        <f>IF(ISNUMBER(J84),INT(J84/C84),0)</f>
        <v/>
      </c>
      <c r="L84" s="13" t="n">
        <v>0.1922</v>
      </c>
      <c r="M84" s="17" t="inlineStr">
        <is>
          <t>LOW</t>
        </is>
      </c>
      <c r="N84" s="11" t="inlineStr">
        <is>
          <t>Stock fine; 2nd/3rd checked.</t>
        </is>
      </c>
      <c r="O84" s="11" t="inlineStr"/>
      <c r="P84" s="11" t="inlineStr">
        <is>
          <t>UC2843BD1R2G (onsemi)</t>
        </is>
      </c>
      <c r="Q84" s="10" t="inlineStr">
        <is>
          <t>C59197</t>
        </is>
      </c>
      <c r="R84" s="12" t="n">
        <v>72335</v>
      </c>
      <c r="S84" s="15" t="inlineStr">
        <is>
          <t>EQ</t>
        </is>
      </c>
      <c r="T84" s="11" t="inlineStr">
        <is>
          <t>onsemi UC2843BD1R2G (same die, -25..85 C)</t>
        </is>
      </c>
      <c r="U84" s="11" t="inlineStr">
        <is>
          <t>UC3843D8TR (TI)</t>
        </is>
      </c>
      <c r="V84" s="10" t="inlineStr">
        <is>
          <t>C702405</t>
        </is>
      </c>
      <c r="W84" s="12" t="n">
        <v>1296</v>
      </c>
      <c r="X84" s="15" t="inlineStr">
        <is>
          <t>EQ</t>
        </is>
      </c>
      <c r="Y84" s="11" t="inlineStr">
        <is>
          <t>TI UC3843D8TR (same 8-pin pinout, 0..70 C)</t>
        </is>
      </c>
      <c r="Z84" s="10">
        <f>IF(ISNUMBER(J84),IF(J84&gt;=100*C84,1,0),0)+IF(ISNUMBER(R84),IF(R84&gt;=100*C84,1,0),0)+IF(ISNUMBER(W84),IF(W84&gt;=100*C84,1,0),0)</f>
        <v/>
      </c>
    </row>
    <row r="85">
      <c r="A85" s="10" t="n">
        <v>82</v>
      </c>
      <c r="B85" s="11" t="inlineStr">
        <is>
          <t>U21</t>
        </is>
      </c>
      <c r="C85" s="10" t="n">
        <v>1</v>
      </c>
      <c r="D85" s="11" t="inlineStr">
        <is>
          <t>EL357N(B)(TA)-G</t>
        </is>
      </c>
      <c r="E85" s="11" t="inlineStr">
        <is>
          <t>SOP-4_3.8x4.1mm_P2.54mm</t>
        </is>
      </c>
      <c r="F85" s="11" t="inlineStr">
        <is>
          <t>Standard (SOP-4 2.54)</t>
        </is>
      </c>
      <c r="G85" s="10" t="inlineStr">
        <is>
          <t>EL357N(B)(TA)-G</t>
        </is>
      </c>
      <c r="H85" s="10" t="inlineStr">
        <is>
          <t>EVERLIGHT</t>
        </is>
      </c>
      <c r="I85" s="10" t="inlineStr">
        <is>
          <t>C42381015</t>
        </is>
      </c>
      <c r="J85" s="12" t="n">
        <v>452440</v>
      </c>
      <c r="K85" s="12">
        <f>IF(ISNUMBER(J85),INT(J85/C85),0)</f>
        <v/>
      </c>
      <c r="L85" s="13" t="n">
        <v>0.0313</v>
      </c>
      <c r="M85" s="17" t="inlineStr">
        <is>
          <t>LOW</t>
        </is>
      </c>
      <c r="N85" s="11" t="inlineStr">
        <is>
          <t>Stock fine; 2nd/3rd checked.</t>
        </is>
      </c>
      <c r="O85" s="11" t="inlineStr"/>
      <c r="P85" s="11" t="inlineStr">
        <is>
          <t>LTV-357T-B (LITEON)</t>
        </is>
      </c>
      <c r="Q85" s="10" t="inlineStr">
        <is>
          <t>C33068</t>
        </is>
      </c>
      <c r="R85" s="12" t="n">
        <v>40510</v>
      </c>
      <c r="S85" s="15" t="inlineStr">
        <is>
          <t>EQ</t>
        </is>
      </c>
      <c r="T85" s="11" t="inlineStr">
        <is>
          <t>LITEON LTV-357T-B (CTR 130-260 %, same pinout)</t>
        </is>
      </c>
      <c r="U85" s="11" t="inlineStr">
        <is>
          <t>EL357B (GOODWORK)</t>
        </is>
      </c>
      <c r="V85" s="10" t="inlineStr">
        <is>
          <t>C17702877</t>
        </is>
      </c>
      <c r="W85" s="12" t="n">
        <v>7680</v>
      </c>
      <c r="X85" s="15" t="inlineStr">
        <is>
          <t>EQ</t>
        </is>
      </c>
      <c r="Y85" s="11" t="inlineStr">
        <is>
          <t>GOODWORK EL357B (CTR B)</t>
        </is>
      </c>
      <c r="Z85" s="10">
        <f>IF(ISNUMBER(J85),IF(J85&gt;=100*C85,1,0),0)+IF(ISNUMBER(R85),IF(R85&gt;=100*C85,1,0),0)+IF(ISNUMBER(W85),IF(W85&gt;=100*C85,1,0),0)</f>
        <v/>
      </c>
    </row>
    <row r="86">
      <c r="A86" s="10" t="n">
        <v>83</v>
      </c>
      <c r="B86" s="11" t="inlineStr">
        <is>
          <t>Y1</t>
        </is>
      </c>
      <c r="C86" s="10" t="n">
        <v>1</v>
      </c>
      <c r="D86" s="11" t="inlineStr">
        <is>
          <t>X322516MLB4SI</t>
        </is>
      </c>
      <c r="E86" s="11" t="inlineStr">
        <is>
          <t>Crystal_SMD_3225-4Pin_3.2x2.5mm</t>
        </is>
      </c>
      <c r="F86" s="11" t="inlineStr">
        <is>
          <t>Standard (3225 4-pad)</t>
        </is>
      </c>
      <c r="G86" s="10" t="inlineStr">
        <is>
          <t>X322516MLB4SI</t>
        </is>
      </c>
      <c r="H86" s="10" t="inlineStr">
        <is>
          <t>YXC Crystal Oscillators</t>
        </is>
      </c>
      <c r="I86" s="10" t="inlineStr">
        <is>
          <t>C13738</t>
        </is>
      </c>
      <c r="J86" s="12" t="n">
        <v>84200</v>
      </c>
      <c r="K86" s="12">
        <f>IF(ISNUMBER(J86),INT(J86/C86),0)</f>
        <v/>
      </c>
      <c r="L86" s="13" t="n">
        <v>0.0485</v>
      </c>
      <c r="M86" s="17" t="inlineStr">
        <is>
          <t>LOW</t>
        </is>
      </c>
      <c r="N86" s="11" t="inlineStr">
        <is>
          <t>Stock fine; 2nd/3rd checked.</t>
        </is>
      </c>
      <c r="O86" s="11" t="inlineStr"/>
      <c r="P86" s="11" t="inlineStr">
        <is>
          <t>XL2LI-111-16M (YXC Crystal Oscillators)</t>
        </is>
      </c>
      <c r="Q86" s="10" t="inlineStr">
        <is>
          <t>C18207610</t>
        </is>
      </c>
      <c r="R86" s="12" t="n">
        <v>35535</v>
      </c>
      <c r="S86" s="15" t="inlineStr">
        <is>
          <t>EQ</t>
        </is>
      </c>
      <c r="T86" s="11" t="inlineStr">
        <is>
          <t>YXC XL2LI-111-16M 16 MHz 9 pF 50 ohm</t>
        </is>
      </c>
      <c r="U86" s="11" t="inlineStr">
        <is>
          <t>XL2EL89CLI-111YLC-16M (YXC Crystal Oscillators)</t>
        </is>
      </c>
      <c r="V86" s="10" t="inlineStr">
        <is>
          <t>C5444547</t>
        </is>
      </c>
      <c r="W86" s="12" t="n">
        <v>10405</v>
      </c>
      <c r="X86" s="15" t="inlineStr">
        <is>
          <t>EQ</t>
        </is>
      </c>
      <c r="Y86" s="11" t="inlineStr">
        <is>
          <t>YXC XL2EL89CLI-111YLC-16M 16 MHz 9 pF</t>
        </is>
      </c>
      <c r="Z86" s="10">
        <f>IF(ISNUMBER(J86),IF(J86&gt;=100*C86,1,0),0)+IF(ISNUMBER(R86),IF(R86&gt;=100*C86,1,0),0)+IF(ISNUMBER(W86),IF(W86&gt;=100*C86,1,0),0)</f>
        <v/>
      </c>
    </row>
    <row r="87">
      <c r="A87" s="10" t="n">
        <v>85</v>
      </c>
      <c r="B87" s="11" t="inlineStr">
        <is>
          <t>J1,J2</t>
        </is>
      </c>
      <c r="C87" s="10" t="n">
        <v>2</v>
      </c>
      <c r="D87" s="11" t="inlineStr">
        <is>
          <t>KF2EDGR-5.08-2P (hand-soldered)</t>
        </is>
      </c>
      <c r="E87" s="11" t="inlineStr">
        <is>
          <t>PhoenixContact_MSTBA_2,5_2-G-5,08</t>
        </is>
      </c>
      <c r="F87" s="11" t="inlineStr">
        <is>
          <t>De-facto standard (many makers) (5.08 pluggable header)</t>
        </is>
      </c>
      <c r="G87" s="10" t="inlineStr">
        <is>
          <t>KF2EDGR-5.08-2P</t>
        </is>
      </c>
      <c r="H87" s="10" t="inlineStr">
        <is>
          <t>Cixi Kefa Elec</t>
        </is>
      </c>
      <c r="I87" s="10" t="inlineStr">
        <is>
          <t>C441204</t>
        </is>
      </c>
      <c r="J87" s="12" t="n">
        <v>30830</v>
      </c>
      <c r="K87" s="12">
        <f>IF(ISNUMBER(J87),INT(J87/C87),0)</f>
        <v/>
      </c>
      <c r="L87" s="13" t="n">
        <v>0.0246</v>
      </c>
      <c r="M87" s="17" t="inlineStr">
        <is>
          <t>LOW</t>
        </is>
      </c>
      <c r="N87" s="11" t="inlineStr">
        <is>
          <t>Stock fine; 2nd/3rd checked.</t>
        </is>
      </c>
      <c r="O87" s="11" t="inlineStr"/>
      <c r="P87" s="11" t="inlineStr">
        <is>
          <t>2EDGR-5.08-02P-14-100A(H) (DEGSON)</t>
        </is>
      </c>
      <c r="Q87" s="10" t="inlineStr">
        <is>
          <t>C699495</t>
        </is>
      </c>
      <c r="R87" s="12" t="n">
        <v>1720</v>
      </c>
      <c r="S87" s="15" t="inlineStr">
        <is>
          <t>EQ</t>
        </is>
      </c>
      <c r="T87" s="11" t="inlineStr">
        <is>
          <t>DEGSON 2EDGR-5.08-02P: same 5.08 mm 2-pin right-angle header</t>
        </is>
      </c>
      <c r="U87" s="11" t="inlineStr"/>
      <c r="V87" s="10" t="inlineStr"/>
      <c r="W87" s="12" t="n"/>
      <c r="X87" s="18" t="inlineStr"/>
      <c r="Y87" s="11" t="inlineStr">
        <is>
          <t>Mating plug: Kefa KF2EDGK-5.08-2P-AA (C440880), 2 per board</t>
        </is>
      </c>
      <c r="Z87" s="10">
        <f>IF(ISNUMBER(J87),IF(J87&gt;=100*C87,1,0),0)+IF(ISNUMBER(R87),IF(R87&gt;=100*C87,1,0),0)+IF(ISNUMBER(W87),IF(W87&gt;=100*C87,1,0),0)</f>
        <v/>
      </c>
    </row>
    <row r="88">
      <c r="A88" s="10" t="n">
        <v>86</v>
      </c>
      <c r="B88" s="11" t="inlineStr">
        <is>
          <t>J3,J4</t>
        </is>
      </c>
      <c r="C88" s="10" t="n">
        <v>2</v>
      </c>
      <c r="D88" s="11" t="inlineStr">
        <is>
          <t>PZ254V-11-03P-A40 (hand-soldered)</t>
        </is>
      </c>
      <c r="E88" s="11" t="inlineStr">
        <is>
          <t>PinHeader_1x03_P2.54mm_Vertical</t>
        </is>
      </c>
      <c r="F88" s="11" t="inlineStr">
        <is>
          <t>Standard (2.54 header)</t>
        </is>
      </c>
      <c r="G88" s="10" t="inlineStr">
        <is>
          <t>PZ254V-11-03P-A40</t>
        </is>
      </c>
      <c r="H88" s="10" t="inlineStr">
        <is>
          <t>XFCN</t>
        </is>
      </c>
      <c r="I88" s="10" t="inlineStr">
        <is>
          <t>C42419910</t>
        </is>
      </c>
      <c r="J88" s="12" t="n">
        <v>5250</v>
      </c>
      <c r="K88" s="12">
        <f>IF(ISNUMBER(J88),INT(J88/C88),0)</f>
        <v/>
      </c>
      <c r="L88" s="13" t="n"/>
      <c r="M88" s="17" t="inlineStr">
        <is>
          <t>LOW</t>
        </is>
      </c>
      <c r="N88" s="11" t="inlineStr">
        <is>
          <t>Stock fine; 2nd/3rd checked.</t>
        </is>
      </c>
      <c r="O88" s="11" t="inlineStr"/>
      <c r="P88" s="11" t="inlineStr">
        <is>
          <t>XY-PZ254V-11-03P (XYECONN)</t>
        </is>
      </c>
      <c r="Q88" s="10" t="inlineStr">
        <is>
          <t>C53200685</t>
        </is>
      </c>
      <c r="R88" s="12" t="n">
        <v>2050</v>
      </c>
      <c r="S88" s="15" t="inlineStr">
        <is>
          <t>EQ</t>
        </is>
      </c>
      <c r="T88" s="11" t="inlineStr">
        <is>
          <t>XYECONN XY-PZ254V-11-03P</t>
        </is>
      </c>
      <c r="U88" s="11" t="inlineStr">
        <is>
          <t>PZ254V-11-03P-RD (XFCN)</t>
        </is>
      </c>
      <c r="V88" s="10" t="inlineStr">
        <is>
          <t>C41425293</t>
        </is>
      </c>
      <c r="W88" s="12" t="n">
        <v>4080</v>
      </c>
      <c r="X88" s="15" t="inlineStr">
        <is>
          <t>EQ</t>
        </is>
      </c>
      <c r="Y88" s="11" t="inlineStr">
        <is>
          <t>XFCN PZ254V-11-03P-RD (red)</t>
        </is>
      </c>
      <c r="Z88" s="10">
        <f>IF(ISNUMBER(J88),IF(J88&gt;=100*C88,1,0),0)+IF(ISNUMBER(R88),IF(R88&gt;=100*C88,1,0),0)+IF(ISNUMBER(W88),IF(W88&gt;=100*C88,1,0),0)</f>
        <v/>
      </c>
    </row>
    <row r="89">
      <c r="A89" s="10" t="n">
        <v>87</v>
      </c>
      <c r="B89" s="11" t="inlineStr">
        <is>
          <t>J5</t>
        </is>
      </c>
      <c r="C89" s="10" t="n">
        <v>1</v>
      </c>
      <c r="D89" s="11" t="inlineStr">
        <is>
          <t>PZ254V-11-06P-A40 (hand-soldered)</t>
        </is>
      </c>
      <c r="E89" s="11" t="inlineStr">
        <is>
          <t>PinHeader_1x06_P2.54mm_Vertical</t>
        </is>
      </c>
      <c r="F89" s="11" t="inlineStr">
        <is>
          <t>Standard (2.54 header)</t>
        </is>
      </c>
      <c r="G89" s="10" t="inlineStr">
        <is>
          <t>PZ254V-11-06P-A40</t>
        </is>
      </c>
      <c r="H89" s="10" t="inlineStr">
        <is>
          <t>XFCN</t>
        </is>
      </c>
      <c r="I89" s="10" t="inlineStr">
        <is>
          <t>C42419913</t>
        </is>
      </c>
      <c r="J89" s="12" t="n">
        <v>3800</v>
      </c>
      <c r="K89" s="12">
        <f>IF(ISNUMBER(J89),INT(J89/C89),0)</f>
        <v/>
      </c>
      <c r="L89" s="13" t="n"/>
      <c r="M89" s="17" t="inlineStr">
        <is>
          <t>LOW</t>
        </is>
      </c>
      <c r="N89" s="11" t="inlineStr">
        <is>
          <t>Stock fine; 2nd/3rd checked.</t>
        </is>
      </c>
      <c r="O89" s="11" t="inlineStr"/>
      <c r="P89" s="11" t="inlineStr">
        <is>
          <t>XY-PZ254V-11-06P (XYECONN)</t>
        </is>
      </c>
      <c r="Q89" s="10" t="inlineStr">
        <is>
          <t>C53200691</t>
        </is>
      </c>
      <c r="R89" s="12" t="n">
        <v>1180</v>
      </c>
      <c r="S89" s="15" t="inlineStr">
        <is>
          <t>EQ</t>
        </is>
      </c>
      <c r="T89" s="11" t="inlineStr">
        <is>
          <t>XYECONN XY-PZ254V-11-06P</t>
        </is>
      </c>
      <c r="U89" s="11" t="inlineStr">
        <is>
          <t>PZ254V-11-06P-RD (XFCN)</t>
        </is>
      </c>
      <c r="V89" s="10" t="inlineStr">
        <is>
          <t>C41425296</t>
        </is>
      </c>
      <c r="W89" s="12" t="n">
        <v>1580</v>
      </c>
      <c r="X89" s="15" t="inlineStr">
        <is>
          <t>EQ</t>
        </is>
      </c>
      <c r="Y89" s="11" t="inlineStr">
        <is>
          <t>XFCN PZ254V-11-06P-RD (red)</t>
        </is>
      </c>
      <c r="Z89" s="10">
        <f>IF(ISNUMBER(J89),IF(J89&gt;=100*C89,1,0),0)+IF(ISNUMBER(R89),IF(R89&gt;=100*C89,1,0),0)+IF(ISNUMBER(W89),IF(W89&gt;=100*C89,1,0),0)</f>
        <v/>
      </c>
    </row>
    <row r="90">
      <c r="A90" s="10" t="n">
        <v>88</v>
      </c>
      <c r="B90" s="11" t="inlineStr">
        <is>
          <t>JP1</t>
        </is>
      </c>
      <c r="C90" s="10" t="n">
        <v>1</v>
      </c>
      <c r="D90" s="11" t="inlineStr">
        <is>
          <t>PZ254V-12-04P-A40 (hand-soldered)</t>
        </is>
      </c>
      <c r="E90" s="11" t="inlineStr">
        <is>
          <t>PinHeader_2x02_P2.54mm_Vertical</t>
        </is>
      </c>
      <c r="F90" s="11" t="inlineStr">
        <is>
          <t>Standard (2.54 header)</t>
        </is>
      </c>
      <c r="G90" s="10" t="inlineStr">
        <is>
          <t>PZ254V-12-04P-A40</t>
        </is>
      </c>
      <c r="H90" s="10" t="inlineStr">
        <is>
          <t>XFCN</t>
        </is>
      </c>
      <c r="I90" s="10" t="inlineStr">
        <is>
          <t>C45384660</t>
        </is>
      </c>
      <c r="J90" s="12" t="n">
        <v>1280</v>
      </c>
      <c r="K90" s="12">
        <f>IF(ISNUMBER(J90),INT(J90/C90),0)</f>
        <v/>
      </c>
      <c r="L90" s="13" t="n"/>
      <c r="M90" s="17" t="inlineStr">
        <is>
          <t>LOW</t>
        </is>
      </c>
      <c r="N90" s="11" t="inlineStr">
        <is>
          <t>Stock fine; 2nd/3rd checked.</t>
        </is>
      </c>
      <c r="O90" s="11" t="inlineStr"/>
      <c r="P90" s="11" t="inlineStr">
        <is>
          <t>PZ254V-12-04P-T (XFCN)</t>
        </is>
      </c>
      <c r="Q90" s="10" t="inlineStr">
        <is>
          <t>C56153598</t>
        </is>
      </c>
      <c r="R90" s="12" t="n">
        <v>1000</v>
      </c>
      <c r="S90" s="15" t="inlineStr">
        <is>
          <t>EQ</t>
        </is>
      </c>
      <c r="T90" s="11" t="inlineStr">
        <is>
          <t>XFCN PZ254V-12-04P-T</t>
        </is>
      </c>
      <c r="U90" s="11" t="inlineStr">
        <is>
          <t>PZ254V-12-04P-YL (XFCN)</t>
        </is>
      </c>
      <c r="V90" s="10" t="inlineStr">
        <is>
          <t>C42393319</t>
        </is>
      </c>
      <c r="W90" s="12" t="n">
        <v>1980</v>
      </c>
      <c r="X90" s="15" t="inlineStr">
        <is>
          <t>EQ</t>
        </is>
      </c>
      <c r="Y90" s="11" t="inlineStr">
        <is>
          <t>XFCN PZ254V-12-04P-YL</t>
        </is>
      </c>
      <c r="Z90" s="10">
        <f>IF(ISNUMBER(J90),IF(J90&gt;=100*C90,1,0),0)+IF(ISNUMBER(R90),IF(R90&gt;=100*C90,1,0),0)+IF(ISNUMBER(W90),IF(W90&gt;=100*C90,1,0),0)</f>
        <v/>
      </c>
    </row>
  </sheetData>
  <autoFilter ref="A1:Z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80" customWidth="1" min="3" max="3"/>
  </cols>
  <sheetData>
    <row r="1">
      <c r="A1" s="3" t="inlineStr">
        <is>
          <t>Line</t>
        </is>
      </c>
      <c r="B1" s="3" t="inlineStr">
        <is>
          <t>Finding</t>
        </is>
      </c>
      <c r="C1" s="3" t="inlineStr">
        <is>
          <t>Result</t>
        </is>
      </c>
    </row>
    <row r="2">
      <c r="A2" s="2" t="inlineStr">
        <is>
          <t>U12 3rd</t>
        </is>
      </c>
      <c r="B2" s="2" t="inlineStr">
        <is>
          <t>YLPTEC ISO7742N0-Y (old 3rd source) is the NARROW SOIC-16 body</t>
        </is>
      </c>
      <c r="C2" s="2" t="inlineStr">
        <is>
          <t>Won't fit SOIC-16W. Replaced by ISO7742W0-Y (wide, default-low).</t>
        </is>
      </c>
    </row>
    <row r="3">
      <c r="A3" s="2" t="inlineStr">
        <is>
          <t>U11 3rd</t>
        </is>
      </c>
      <c r="B3" s="2" t="inlineStr">
        <is>
          <t>Maxinmicro MX27524S: pin order could not be confirmed from its datasheet</t>
        </is>
      </c>
      <c r="C3" s="2" t="inlineStr">
        <is>
          <t>Dropped. TI UCC27524ADR + UMW UCC27524DR (stated pin-to-pin).</t>
        </is>
      </c>
    </row>
    <row r="4">
      <c r="A4" s="2" t="inlineStr">
        <is>
          <t>U15/17/18</t>
        </is>
      </c>
      <c r="B4" s="2" t="inlineStr">
        <is>
          <t>TPV331S5 / HT331 are push-pull clones with unconfirmed pinout</t>
        </is>
      </c>
      <c r="C4" s="2" t="inlineStr">
        <is>
          <t>Replaced by 3PEAK LMV331X-S5TR and ST LMV331ILT (open-drain, same pinout).</t>
        </is>
      </c>
    </row>
    <row r="5">
      <c r="A5" s="2" t="inlineStr">
        <is>
          <t>U16/U22</t>
        </is>
      </c>
      <c r="B5" s="2" t="inlineStr">
        <is>
          <t>TL431 SOT-23 pinout differs between makers. Board: pin1 = cathode, pin2 = REF (TI DBZ)</t>
        </is>
      </c>
      <c r="C5" s="2" t="inlineStr">
        <is>
          <t>U22 must use a 1=K / 2=REF part: TI, UMW, Nexperia normal pinning, HGSEMI. MSKSEMI (no pin numbers) dropped. U16 has pins 1+2 tied so any TL431 works.</t>
        </is>
      </c>
    </row>
    <row r="6">
      <c r="A6" s="2" t="inlineStr">
        <is>
          <t>TH1</t>
        </is>
      </c>
      <c r="B6" s="2" t="inlineStr">
        <is>
          <t>FH CMFB103F3950FANT (old 2nd) is 0805</t>
        </is>
      </c>
      <c r="C6" s="2" t="inlineStr">
        <is>
          <t>Won't fit the 0603 pads. Replaced by two 0603 10k 1 % B3950 parts.</t>
        </is>
      </c>
    </row>
    <row r="7">
      <c r="A7" s="2" t="inlineStr">
        <is>
          <t>CR1-CR6</t>
        </is>
      </c>
      <c r="B7" s="2" t="inlineStr">
        <is>
          <t>CCTC / HRE 'M3L' 100 nF 1206 caps show no dielectric - not confirmed C0G</t>
        </is>
      </c>
      <c r="C7" s="2" t="inlineStr">
        <is>
          <t>Resonant caps need C0G. Replaced by Murata GRM31C5C2A104JA01L / TDK C3216C0G2A104JT000E.</t>
        </is>
      </c>
    </row>
    <row r="8">
      <c r="A8" s="2" t="inlineStr">
        <is>
          <t>L1</t>
        </is>
      </c>
      <c r="B8" s="2" t="inlineStr">
        <is>
          <t>SOREDE SRYH.1770 (old 3rd) saturates at 16 A vs 23 A design</t>
        </is>
      </c>
      <c r="C8" s="2" t="inlineStr">
        <is>
          <t>Dropped. Shun Xiang Nuo SMMS1770-220M and Sunltech SLO1770C (both 23 A sat). Sunltech land checked: fits.</t>
        </is>
      </c>
    </row>
    <row r="9">
      <c r="A9" s="2" t="inlineStr">
        <is>
          <t>L2/L3</t>
        </is>
      </c>
      <c r="B9" s="2" t="inlineStr">
        <is>
          <t>APV ANR5040 has no datasheet on LCSC</t>
        </is>
      </c>
      <c r="C9" s="2" t="inlineStr">
        <is>
          <t>New primary cjiang FNR5040S470MT: recommended land 1.4 x 4.2 / gap 2.3 = our footprint exactly.</t>
        </is>
      </c>
    </row>
    <row r="10">
      <c r="A10" s="2" t="inlineStr">
        <is>
          <t>RS1</t>
        </is>
      </c>
      <c r="B10" s="2" t="inlineStr">
        <is>
          <t>Alloy shunt land pattern vs standard R_2512 footprint</t>
        </is>
      </c>
      <c r="C10" s="2" t="inlineStr">
        <is>
          <t>HoJLR2512 terminations 0.9 mm sit fully on our pads (2.35-3.58 mm from centre). OK.</t>
        </is>
      </c>
    </row>
    <row r="11">
      <c r="A11" s="2" t="inlineStr">
        <is>
          <t>SW1</t>
        </is>
      </c>
      <c r="B11" s="2" t="inlineStr">
        <is>
          <t>SHOU HAN TPGT land: 1.1 x 2.2 mm pads, rows 6.6 / 11 mm</t>
        </is>
      </c>
      <c r="C11" s="2" t="inlineStr">
        <is>
          <t>Matches our footprint (1.12 x 2.44, rows 6.16 / 10.74).</t>
        </is>
      </c>
    </row>
    <row r="12">
      <c r="A12" s="2" t="inlineStr">
        <is>
          <t>Q1/Q4</t>
        </is>
      </c>
      <c r="B12" s="2" t="inlineStr">
        <is>
          <t>NCE alternates have Qg 54-60 nC vs 26 nC</t>
        </is>
      </c>
      <c r="C12" s="2" t="inlineStr">
        <is>
          <t>Pin-compatible DFN5x6; usable but more switching loss in the hard-switched FETs - bench check.</t>
        </is>
      </c>
    </row>
    <row r="13">
      <c r="A13" s="2" t="inlineStr">
        <is>
          <t>Q2/3/5/6</t>
        </is>
      </c>
      <c r="B13" s="2" t="inlineStr">
        <is>
          <t>NCEP068N10G Qg 60 nC vs 65 nC, 6.1 mOhm</t>
        </is>
      </c>
      <c r="C13" s="2" t="inlineStr">
        <is>
          <t>Drop-in (better Rds).</t>
        </is>
      </c>
    </row>
    <row r="14">
      <c r="A14" s="2" t="inlineStr">
        <is>
          <t>U4/U13</t>
        </is>
      </c>
      <c r="B14" s="2" t="inlineStr">
        <is>
          <t>LV2862: same pinout and FB; EN threshold 1.25 V vs ~1.5 V</t>
        </is>
      </c>
      <c r="C14" s="2" t="inlineStr">
        <is>
          <t>U13 under-voltage start moves from ~12 V to ~10 V VIN. Acceptable; note it.</t>
        </is>
      </c>
    </row>
    <row r="15">
      <c r="A15" s="2" t="inlineStr">
        <is>
          <t>U9</t>
        </is>
      </c>
      <c r="B15" s="2" t="inlineStr">
        <is>
          <t>No pin-compatible integrated-power isolated CAN from another maker</t>
        </is>
      </c>
      <c r="C15" s="2" t="inlineStr">
        <is>
          <t>ISO1042DW matches pins 2-16; needs pin 1 = 3.3 V + external isolated 5 V. See 'PCB reserve'.</t>
        </is>
      </c>
    </row>
    <row r="16">
      <c r="A16" s="2" t="inlineStr">
        <is>
          <t>T2</t>
        </is>
      </c>
      <c r="B16" s="2" t="inlineStr">
        <is>
          <t>Pulse only; PA3855.005NLT same EP13 footprint</t>
        </is>
      </c>
      <c r="C16" s="2" t="inlineStr">
        <is>
          <t>Needs series secondaries. See 'PCB reserve'.</t>
        </is>
      </c>
    </row>
    <row r="17">
      <c r="A17" s="2" t="inlineStr">
        <is>
          <t>C82</t>
        </is>
      </c>
      <c r="B17" s="2" t="inlineStr">
        <is>
          <t>BOM had X7R on the ramp cap</t>
        </is>
      </c>
      <c r="C17" s="2" t="inlineStr">
        <is>
          <t>KEMET C0G 47 nF (25 V, node &lt; 5 V).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8" customWidth="1" min="4" max="4"/>
    <col width="40" customWidth="1" min="5" max="5"/>
    <col width="26" customWidth="1" min="6" max="6"/>
  </cols>
  <sheetData>
    <row r="1">
      <c r="A1" s="3" t="inlineStr">
        <is>
          <t>Part</t>
        </is>
      </c>
      <c r="B1" s="3" t="inlineStr">
        <is>
          <t>Why</t>
        </is>
      </c>
      <c r="C1" s="3" t="inlineStr">
        <is>
          <t>What to add (DNP on the normal build)</t>
        </is>
      </c>
      <c r="D1" s="3" t="inlineStr">
        <is>
          <t>Space</t>
        </is>
      </c>
      <c r="E1" s="3" t="inlineStr">
        <is>
          <t>Where</t>
        </is>
      </c>
      <c r="F1" s="3" t="inlineStr">
        <is>
          <t>Status</t>
        </is>
      </c>
    </row>
    <row r="2">
      <c r="A2" s="2" t="inlineStr">
        <is>
          <t>T2 PA3855.006NLT</t>
        </is>
      </c>
      <c r="B2" s="2" t="inlineStr">
        <is>
          <t>Single maker (Pulse), 102 pcs at LCSC</t>
        </is>
      </c>
      <c r="C2" s="2" t="inlineStr">
        <is>
          <t>3 x 0805 0R jumpers on the secondary: A = pin10-&gt;FLY_SA, B = pin6-&gt;GND, C = pin6-&gt;pin10. Normal (.006): fit A+B. Backup (.005NLT, secondaries in series): fit C only.</t>
        </is>
      </c>
      <c r="D2" s="2" t="inlineStr">
        <is>
          <t>~6 x 4 mm</t>
        </is>
      </c>
      <c r="E2" s="2" t="inlineStr">
        <is>
          <t>Free 10 x 8 mm area right of T2 pins 6-10 (x 79.5-89.5, y 46-54)</t>
        </is>
      </c>
      <c r="F2" s="2" t="inlineStr">
        <is>
          <t>Waiting for your OK</t>
        </is>
      </c>
    </row>
    <row r="3">
      <c r="A3" s="2" t="inlineStr">
        <is>
          <t>U9 CA-IS3062VW</t>
        </is>
      </c>
      <c r="B3" s="2" t="inlineStr">
        <is>
          <t>Single maker (Chipanalog), integrated isolated DC-DC</t>
        </is>
      </c>
      <c r="C3" s="2" t="inlineStr">
        <is>
          <t>1 x 0402 0R to select U9 pin 1 = +5V (CA-IS3062) or +3V3 (ISO1042DW); B0505S-1WR3 isolated 5 V SIP-4 module + 2 caps feeding VISO.</t>
        </is>
      </c>
      <c r="D3" s="2" t="inlineStr">
        <is>
          <t>~14 x 10 mm + one 0402</t>
        </is>
      </c>
      <c r="E3" s="2" t="inlineStr">
        <is>
          <t>Free area straddling the isolation gap directly above U9 (x 128-142, y 64-74)</t>
        </is>
      </c>
      <c r="F3" s="2" t="inlineStr">
        <is>
          <t>Waiting for your OK (module pin spacing vs 4 mm gap to confirm)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2026-10-20T15:48:14Z</dcterms:created>
  <dcterms:modified xmlns:dcterms="http://purl.org/dc/terms/" xmlns:xsi="http://www.w3.org/2001/XMLSchema-instance" xsi:type="dcterms:W3CDTF">2026-10-20T15:48:14Z</dcterms:modified>
</cp:coreProperties>
</file>