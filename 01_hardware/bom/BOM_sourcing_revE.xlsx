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ourcing" sheetId="2" state="visible" r:id="rId4"/>
  </sheets>
  <definedNames>
    <definedName function="false" hidden="true" localSheetId="1" name="_xlnm._FilterDatabase" vbProcedure="false">Sourcing!$A$1:$U$84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<sst xmlns="http://schemas.openxmlformats.org/spreadsheetml/2006/main" count="1151" uniqueCount="866">
  <si>
    <t xml:space="preserve">DCDC_LLC_4SBB_G474 Rev E - material shortage review and 2nd / 3rd sources</t>
  </si>
  <si>
    <t xml:space="preserve">LCSC stock read live from lcsc.com product pages on 2026-10-20 (about 09:00 Beijing time). Stock moves daily - re-check at order time.</t>
  </si>
  <si>
    <t xml:space="preserve">JLC assembly uses JLC's own SMT library: a JLC 'basic' part can still be in stock there when LCSC retail shows 0, and each extra 'extended' part adds JLC's per-part setup fee.</t>
  </si>
  <si>
    <t xml:space="preserve">Risk</t>
  </si>
  <si>
    <t xml:space="preserve">Lines</t>
  </si>
  <si>
    <t xml:space="preserve">Rule</t>
  </si>
  <si>
    <t xml:space="preserve">CRITICAL</t>
  </si>
  <si>
    <t xml:space="preserve">Out of stock / not listed / &lt; 50 boards, or a BOM error - must change before ordering</t>
  </si>
  <si>
    <t xml:space="preserve">HIGH</t>
  </si>
  <si>
    <t xml:space="preserve">Covers &lt; 100-300 boards, single or weak source, or discontinued - buy now / plan alternate</t>
  </si>
  <si>
    <t xml:space="preserve">MEDIUM</t>
  </si>
  <si>
    <t xml:space="preserve">Covers &lt; 1,000 boards or only one source with stock for 100 boards</t>
  </si>
  <si>
    <t xml:space="preserve">LOW</t>
  </si>
  <si>
    <t xml:space="preserve">Plenty of stock and at least two sources</t>
  </si>
  <si>
    <t xml:space="preserve">Must do before the Rev E order (BOM / JLC BOM changes - same footprints):</t>
  </si>
  <si>
    <t xml:space="preserve">C52923</t>
  </si>
  <si>
    <t xml:space="preserve">C28,C36,C51,C86</t>
  </si>
  <si>
    <t xml:space="preserve">Out of stock. Switch to CCTC TCC0402X5R105K500AT (C20539426, 1 uF 50 V X5R, 179 k pcs).</t>
  </si>
  <si>
    <t xml:space="preserve">C1525</t>
  </si>
  <si>
    <t xml:space="preserve">C29,C30,C31,C32,C33,C34,C37,C40,C43,C44,C46,C48,C50,C53,C54,C75,C77,C80,C83,C84,C90,C99</t>
  </si>
  <si>
    <t xml:space="preserve">Out of stock. Move these 22 caps onto the C307331 line (same 100 nF 0402 X7R, 50 V, 2.3 M pcs) - one less BOM line.</t>
  </si>
  <si>
    <t xml:space="preserve">C53134</t>
  </si>
  <si>
    <t xml:space="preserve">C82</t>
  </si>
  <si>
    <t xml:space="preserve">BOM ERROR: C82 must be C0G (VIN-monitor ramp cap) but C53134 is X7R. Use KEMET C0805C473F3GECAUTO (C2233314, C0G 1 %, 25 V - ramp &lt; 5 V).</t>
  </si>
  <si>
    <t xml:space="preserve">C1002</t>
  </si>
  <si>
    <t xml:space="preserve">FB1</t>
  </si>
  <si>
    <t xml:space="preserve">GZ1608D601TF no longer listed on lcsc.com. Switch FB1 to Murata BLM18KG601SN1D (C85833, 600R@100MHz, 806 k pcs).</t>
  </si>
  <si>
    <t xml:space="preserve">C86617</t>
  </si>
  <si>
    <t xml:space="preserve">L2,L3</t>
  </si>
  <si>
    <t xml:space="preserve">SWPA5040S470MT no longer listed on lcsc.com. Switch L2/L3 to APV ANR5040T470M (C7427133, 47 uH, Isat 1.3 A, 5x5 shielded); check DCR on the datasheet (peak current only 0.27 A).</t>
  </si>
  <si>
    <t xml:space="preserve">C503012</t>
  </si>
  <si>
    <t xml:space="preserve">Q2,Q3,Q5,Q6</t>
  </si>
  <si>
    <t xml:space="preserve">Only 38 pcs, 4 per board. Switch Q2/Q3/Q5/Q6 to NCEP068N10G (C503061, 7,577 pcs, 6.1 mOhm, Qg 60 nC): check 4SBB dead time / driver loss (~0.1 W per FET at 150 kHz, fine for UCC27211).</t>
  </si>
  <si>
    <t xml:space="preserve">C25744</t>
  </si>
  <si>
    <t xml:space="preserve">R6,R7,R8,R9,R12,R13,R14,R15,R20,R32,R33,R34,R35,R36,R37,R64,R65,R66,R67,R70,R71,R72,R73,R74,R79,R80,R83,R90,R91,R92,R93,R94,R95,R96,R97,R98,R99,R100,R101,R102,R103,R104,R105,R108,R113,R19,R29,R78,R87,R111,R120</t>
  </si>
  <si>
    <t xml:space="preserve">Out of stock (51 per board). Switch to FOJAN FRC0402F1002TS (C2906861, 14 M pcs). JLC basic part: check JLC's own SMT stock first (no extended-part fee).</t>
  </si>
  <si>
    <t xml:space="preserve">C22939</t>
  </si>
  <si>
    <t xml:space="preserve">R62,R63</t>
  </si>
  <si>
    <t xml:space="preserve">Out of stock, all UNI-ROYAL variants 0. Switch R62/R63 to FOJAN FRC0603F2R20TS (C2907006).</t>
  </si>
  <si>
    <t xml:space="preserve">C190095</t>
  </si>
  <si>
    <t xml:space="preserve">R82</t>
  </si>
  <si>
    <t xml:space="preserve">Out of stock. Switch R82 (VIN divider, 0.1 %) to Vishay TNPW040210K0BEED (C844452, 0.1 % 25 ppm).</t>
  </si>
  <si>
    <t xml:space="preserve">C25092</t>
  </si>
  <si>
    <t xml:space="preserve">R89</t>
  </si>
  <si>
    <t xml:space="preserve">Out of stock. Switch R89 to FOJAN FRC0402F22R0TS (C2929994).</t>
  </si>
  <si>
    <t xml:space="preserve">C529413</t>
  </si>
  <si>
    <t xml:space="preserve">U1</t>
  </si>
  <si>
    <t xml:space="preserve">Out of stock at LCSC. Buy STM32G474RBT3 (C1235414, same die, -40..125 C, 564 pcs) now; RET6 has only 12. Firmware unchanged (RB = 128 KB).</t>
  </si>
  <si>
    <t xml:space="preserve">Buy now / watch:</t>
  </si>
  <si>
    <t xml:space="preserve">C249664</t>
  </si>
  <si>
    <t xml:space="preserve">C1,C11,C60</t>
  </si>
  <si>
    <t xml:space="preserve">175 pcs, 3 per board (58 boards). 2nd: ChengTao RVE1J470M1010 (exact 47 uF 63 V 10x10.5, 350 pcs); 3rd: JIERR 100 uF 63 V 10x10.5 (24,990 pcs) - more input C, check F1 inrush.</t>
  </si>
  <si>
    <t xml:space="preserve">C49308184</t>
  </si>
  <si>
    <t xml:space="preserve">L1</t>
  </si>
  <si>
    <t xml:space="preserve">120 pcs. Buy now. Alternates are 17-18 mm 1770-size parts with low stock: check pad drawings against L_Bourns_SRP1770TA before use.</t>
  </si>
  <si>
    <t xml:space="preserve">C500738</t>
  </si>
  <si>
    <t xml:space="preserve">RS1</t>
  </si>
  <si>
    <t xml:space="preserve">LCSC marks LR2512D-3W-4mR DISCONTINUED (3,680 left). Switch RS1 to Milliohm HoJLR2512-3W-4mR-1% (C2904236, 21 k pcs, 3 W 2512).</t>
  </si>
  <si>
    <t xml:space="preserve">C5718384</t>
  </si>
  <si>
    <t xml:space="preserve">T2</t>
  </si>
  <si>
    <t xml:space="preserve">102 pcs, no drop-in at LCSC. Buy now. 2nd: PA3855.005NLT (520 pcs + 25 k from other suppliers) is the same EP13/21 uH part with 5 V windings - series-connect its two secondaries (needs a PCB change, plan for Rev F).</t>
  </si>
  <si>
    <t xml:space="preserve">C141980</t>
  </si>
  <si>
    <t xml:space="preserve">U2,U3,U10</t>
  </si>
  <si>
    <t xml:space="preserve">338 pcs, 3 per board (112 boards). 2nd UCC27211AQDDARQ1 (same DDA package, 755 pcs); 3rd UCC27211DR (SOIC-8 w/o thermal pad, 2,138 pcs, fits the footprint).</t>
  </si>
  <si>
    <t xml:space="preserve">Hand-soldered / not on the JLC BOM: J1, J2 (KF2EDGR-5.08-2P), J3, J4, J5, J7, JP1 headers - commodity; T1 custom PQ2620 (see winding guide); U1 is listed on the Sourcing sheet because it is the main shortage item.</t>
  </si>
  <si>
    <t xml:space="preserve">#</t>
  </si>
  <si>
    <t xml:space="preserve">Designators</t>
  </si>
  <si>
    <t xml:space="preserve">Qty / board</t>
  </si>
  <si>
    <t xml:space="preserve">Description</t>
  </si>
  <si>
    <t xml:space="preserve">Primary MPN</t>
  </si>
  <si>
    <t xml:space="preserve">Manufacturer</t>
  </si>
  <si>
    <t xml:space="preserve">LCSC #</t>
  </si>
  <si>
    <t xml:space="preserve">LCSC stock today</t>
  </si>
  <si>
    <t xml:space="preserve">Boards covered</t>
  </si>
  <si>
    <t xml:space="preserve">LCSC price from (USD, high-qty tier)</t>
  </si>
  <si>
    <t xml:space="preserve">Action / note</t>
  </si>
  <si>
    <t xml:space="preserve">2nd source MPN</t>
  </si>
  <si>
    <t xml:space="preserve">2nd source note</t>
  </si>
  <si>
    <t xml:space="preserve">2nd LCSC #</t>
  </si>
  <si>
    <t xml:space="preserve">2nd LCSC stock</t>
  </si>
  <si>
    <t xml:space="preserve">3rd source MPN</t>
  </si>
  <si>
    <t xml:space="preserve">3rd source note</t>
  </si>
  <si>
    <t xml:space="preserve">3rd LCSC #</t>
  </si>
  <si>
    <t xml:space="preserve">3rd LCSC stock</t>
  </si>
  <si>
    <t xml:space="preserve">Sources in stock (&gt;= qty for 100 boards)</t>
  </si>
  <si>
    <t xml:space="preserve">1u 10V</t>
  </si>
  <si>
    <t xml:space="preserve">CL05A105KA5NQNC</t>
  </si>
  <si>
    <t xml:space="preserve">Samsung Electro-Mechanics</t>
  </si>
  <si>
    <t xml:space="preserve">TCC0402X5R105K500AT (CCTC)</t>
  </si>
  <si>
    <t xml:space="preserve">CCTC TCC0402X5R105K500AT</t>
  </si>
  <si>
    <t xml:space="preserve">C20539426</t>
  </si>
  <si>
    <t xml:space="preserve">GRM155R61H105KE05D (muRata)</t>
  </si>
  <si>
    <t xml:space="preserve">Murata GRM155R61H105KE05D</t>
  </si>
  <si>
    <t xml:space="preserve">C1518208</t>
  </si>
  <si>
    <t xml:space="preserve">100n</t>
  </si>
  <si>
    <t xml:space="preserve">CL05B104KO5NNNC</t>
  </si>
  <si>
    <t xml:space="preserve">CL05B104KB54PNC (Samsung Electro-Mechanics)</t>
  </si>
  <si>
    <t xml:space="preserve">Samsung CL05B104KB54PNC (already on this BOM) - USE THIS</t>
  </si>
  <si>
    <t xml:space="preserve">C307331</t>
  </si>
  <si>
    <t xml:space="preserve">GRM155R71C104KA88D (muRata)</t>
  </si>
  <si>
    <t xml:space="preserve">Murata GRM155R71C104KA88D</t>
  </si>
  <si>
    <t xml:space="preserve">C71629</t>
  </si>
  <si>
    <t xml:space="preserve">47n C0G 50V</t>
  </si>
  <si>
    <t xml:space="preserve">CL21B473KBCNNNC</t>
  </si>
  <si>
    <t xml:space="preserve">C0805C473F3GECAUTO (KEMET)</t>
  </si>
  <si>
    <t xml:space="preserve">KEMET C0805C473F3GECAUTO C0G 25V - REPLACE PRIMARY (current part is X7R)</t>
  </si>
  <si>
    <t xml:space="preserve">C2233314</t>
  </si>
  <si>
    <t xml:space="preserve">C0805C473K3GECTU (KEMET)</t>
  </si>
  <si>
    <t xml:space="preserve">KEMET C0805C473K3GECTU C0G 25V</t>
  </si>
  <si>
    <t xml:space="preserve">C22409143</t>
  </si>
  <si>
    <t xml:space="preserve">600R@100MHz</t>
  </si>
  <si>
    <t xml:space="preserve">GZ1608D601TF</t>
  </si>
  <si>
    <t xml:space="preserve">Sunlord</t>
  </si>
  <si>
    <t xml:space="preserve">NOTLISTED</t>
  </si>
  <si>
    <t xml:space="preserve">BLM18KG601SN1D (muRata)</t>
  </si>
  <si>
    <t xml:space="preserve">Murata BLM18KG601SN1D</t>
  </si>
  <si>
    <t xml:space="preserve">C85833</t>
  </si>
  <si>
    <t xml:space="preserve">PBBHAQ1608H-601T20 (PROD Tech)</t>
  </si>
  <si>
    <t xml:space="preserve">PROD Tech PBBHAQ1608H-601T20</t>
  </si>
  <si>
    <t xml:space="preserve">C52178226</t>
  </si>
  <si>
    <t xml:space="preserve">SWPA5040S470MT</t>
  </si>
  <si>
    <t xml:space="preserve">ANR5040T470M (APV)</t>
  </si>
  <si>
    <t xml:space="preserve">APV ANR5040T470M</t>
  </si>
  <si>
    <t xml:space="preserve">C7427133</t>
  </si>
  <si>
    <t xml:space="preserve">MNR5040T470MT (MetalLions)</t>
  </si>
  <si>
    <t xml:space="preserve">MetalLions MNR5040T470MT</t>
  </si>
  <si>
    <t xml:space="preserve">C18222071</t>
  </si>
  <si>
    <t xml:space="preserve">NCEP0160AG</t>
  </si>
  <si>
    <t xml:space="preserve">NCE</t>
  </si>
  <si>
    <t xml:space="preserve">NCEP068N10G (NCE)</t>
  </si>
  <si>
    <t xml:space="preserve">NCE NCEP068N10G (check Qg)</t>
  </si>
  <si>
    <t xml:space="preserve">C503061</t>
  </si>
  <si>
    <t xml:space="preserve">NCEP095N10AG (NCE)</t>
  </si>
  <si>
    <t xml:space="preserve">NCE NCEP095N10AG (check Rds)</t>
  </si>
  <si>
    <t xml:space="preserve">C2686677</t>
  </si>
  <si>
    <t xml:space="preserve">10k</t>
  </si>
  <si>
    <t xml:space="preserve">0402WGF1002TCE</t>
  </si>
  <si>
    <t xml:space="preserve">UNI-ROYAL</t>
  </si>
  <si>
    <t xml:space="preserve">FRC0402F1002TS (FOJAN)</t>
  </si>
  <si>
    <t xml:space="preserve">FOJAN FRC0402F1002TS</t>
  </si>
  <si>
    <t xml:space="preserve">C2906861</t>
  </si>
  <si>
    <t xml:space="preserve">RC0402FR-0710KL (YAGEO)</t>
  </si>
  <si>
    <t xml:space="preserve">Yageo RC0402FR-0710KL</t>
  </si>
  <si>
    <t xml:space="preserve">C60490</t>
  </si>
  <si>
    <t xml:space="preserve">2R2</t>
  </si>
  <si>
    <t xml:space="preserve">0603WAF220KT5E</t>
  </si>
  <si>
    <t xml:space="preserve">FRC0603F2R20TS (FOJAN)</t>
  </si>
  <si>
    <t xml:space="preserve">FOJAN FRC0603F2R20TS - REPLACE PRIMARY</t>
  </si>
  <si>
    <t xml:space="preserve">C2907006</t>
  </si>
  <si>
    <t xml:space="preserve">RC0603FR-072R2L (YAGEO)</t>
  </si>
  <si>
    <t xml:space="preserve">Yageo RC0603FR-072R2L</t>
  </si>
  <si>
    <t xml:space="preserve">C112307</t>
  </si>
  <si>
    <t xml:space="preserve">10k 0.1%</t>
  </si>
  <si>
    <t xml:space="preserve">RT0402BRD0710KL</t>
  </si>
  <si>
    <t xml:space="preserve">YAGEO</t>
  </si>
  <si>
    <t xml:space="preserve">TNPW040210K0BEED (VISHAY)</t>
  </si>
  <si>
    <t xml:space="preserve">Vishay TNPW040210K0BEED - REPLACE PRIMARY</t>
  </si>
  <si>
    <t xml:space="preserve">C844452</t>
  </si>
  <si>
    <t xml:space="preserve">TC02G1002BT (FH)</t>
  </si>
  <si>
    <t xml:space="preserve">FH TC02G1002BT</t>
  </si>
  <si>
    <t xml:space="preserve">C2961361</t>
  </si>
  <si>
    <t xml:space="preserve">22R</t>
  </si>
  <si>
    <t xml:space="preserve">0402WGF220JTCE</t>
  </si>
  <si>
    <t xml:space="preserve">FRC0402F22R0TS (FOJAN)</t>
  </si>
  <si>
    <t xml:space="preserve">FOJAN FRC0402F22R0TS - REPLACE PRIMARY</t>
  </si>
  <si>
    <t xml:space="preserve">C2929994</t>
  </si>
  <si>
    <t xml:space="preserve">RC0402FR-0722RL (YAGEO)</t>
  </si>
  <si>
    <t xml:space="preserve">Yageo RC0402FR-0722RL</t>
  </si>
  <si>
    <t xml:space="preserve">C114765</t>
  </si>
  <si>
    <t xml:space="preserve">STM32G474RBT6</t>
  </si>
  <si>
    <t xml:space="preserve">ST</t>
  </si>
  <si>
    <t xml:space="preserve">STM32G474RBT3 (ST)</t>
  </si>
  <si>
    <t xml:space="preserve">ST STM32G474RBT3 (-40..125 C, same part)</t>
  </si>
  <si>
    <t xml:space="preserve">C1235414</t>
  </si>
  <si>
    <t xml:space="preserve">STM32G474RET6 (ST)</t>
  </si>
  <si>
    <t xml:space="preserve">ST STM32G474RET6 (512 KB flash)</t>
  </si>
  <si>
    <t xml:space="preserve">C521608</t>
  </si>
  <si>
    <t xml:space="preserve">47u 63V</t>
  </si>
  <si>
    <t xml:space="preserve">VEJ470M1JTR-1010</t>
  </si>
  <si>
    <t xml:space="preserve">Lelon</t>
  </si>
  <si>
    <t xml:space="preserve">RVE1J470M1010 (ChengTao)</t>
  </si>
  <si>
    <t xml:space="preserve">ChengTao RVE1J470M1010, 47uF 63V SMD 10x10.5 (exact)</t>
  </si>
  <si>
    <t xml:space="preserve">C46527630</t>
  </si>
  <si>
    <t xml:space="preserve">RVT63V100M10X10 (JIERR)</t>
  </si>
  <si>
    <t xml:space="preserve">JIERR RVT63V100M10X10, 100uF 63V 10x10.5 (more C: check inrush via F1)</t>
  </si>
  <si>
    <t xml:space="preserve">C51953411</t>
  </si>
  <si>
    <t xml:space="preserve">PSPMAA1770-220M-CGP</t>
  </si>
  <si>
    <t xml:space="preserve">PROD Tech</t>
  </si>
  <si>
    <t xml:space="preserve">SLO1770C220MTT (Sunltech)</t>
  </si>
  <si>
    <t xml:space="preserve">Sunltech SLO1770C220MTT 22uH 23A sat</t>
  </si>
  <si>
    <t xml:space="preserve">C48996578</t>
  </si>
  <si>
    <t xml:space="preserve">SRYH.1770.YF220MT00 (SOREDE)</t>
  </si>
  <si>
    <t xml:space="preserve">SOREDE SRYH.1770.YF220MT00 22uH 16A sat</t>
  </si>
  <si>
    <t xml:space="preserve">C5122901</t>
  </si>
  <si>
    <t xml:space="preserve">4m 1% 2W</t>
  </si>
  <si>
    <t xml:space="preserve">LR2512D-3W-4mR-1%</t>
  </si>
  <si>
    <t xml:space="preserve">Milliohm</t>
  </si>
  <si>
    <t xml:space="preserve">HoJLR2512-3W-4mR-1% (Milliohm)</t>
  </si>
  <si>
    <t xml:space="preserve">Milliohm HoJLR2512-3W-4mR-1% - REPLACE PRIMARY (current part discontinued)</t>
  </si>
  <si>
    <t xml:space="preserve">C2904236</t>
  </si>
  <si>
    <t xml:space="preserve">HoLR2512-3W-4mR-1%-15ppm (Milliohm)</t>
  </si>
  <si>
    <t xml:space="preserve">Milliohm HoLR2512-3W-4mR-1%-15ppm</t>
  </si>
  <si>
    <t xml:space="preserve">C2908366</t>
  </si>
  <si>
    <t xml:space="preserve">PA3855.006NLT</t>
  </si>
  <si>
    <t xml:space="preserve">PULSE</t>
  </si>
  <si>
    <t xml:space="preserve">PA3855.005NLT (PULSE)</t>
  </si>
  <si>
    <t xml:space="preserve">Pulse PA3855.005NLT (5 V version: put the two secondaries in SERIES - PCB change)</t>
  </si>
  <si>
    <t xml:space="preserve">C17526143</t>
  </si>
  <si>
    <t xml:space="preserve">none in stock on LCSC</t>
  </si>
  <si>
    <t xml:space="preserve">UCC27211DDAR</t>
  </si>
  <si>
    <t xml:space="preserve">TI</t>
  </si>
  <si>
    <t xml:space="preserve">UCC27211AQDDARQ1 (TI)</t>
  </si>
  <si>
    <t xml:space="preserve">TI UCC27211AQDDARQ1 (same DDA package)</t>
  </si>
  <si>
    <t xml:space="preserve">C485921</t>
  </si>
  <si>
    <t xml:space="preserve">UCC27211DR (TI)</t>
  </si>
  <si>
    <t xml:space="preserve">TI UCC27211DR (SOIC-8, no thermal pad; fits footprint, pad left unsoldered)</t>
  </si>
  <si>
    <t xml:space="preserve">C2871979</t>
  </si>
  <si>
    <t xml:space="preserve">C2,C3,C4,C5,C7,C8,C9,C10,C61,C62,C63,C70,C95</t>
  </si>
  <si>
    <t xml:space="preserve">2.2u 100V X7R</t>
  </si>
  <si>
    <t xml:space="preserve">FS32X225K101EGG</t>
  </si>
  <si>
    <t xml:space="preserve">PSA</t>
  </si>
  <si>
    <t xml:space="preserve">C153036</t>
  </si>
  <si>
    <t xml:space="preserve">Primary stock covers the build; alternates have little LCSC stock - keep an eye on it.</t>
  </si>
  <si>
    <t xml:space="preserve">CL32B225KCJVPNE (Samsung Electro-Mechanics)</t>
  </si>
  <si>
    <t xml:space="preserve">Samsung CL32B225KCJVPNE</t>
  </si>
  <si>
    <t xml:space="preserve">C2803392</t>
  </si>
  <si>
    <t xml:space="preserve">CGA1210X7R225K101RT (HRE)</t>
  </si>
  <si>
    <t xml:space="preserve">HRE CGA1210X7R225K101RT</t>
  </si>
  <si>
    <t xml:space="preserve">C23692990</t>
  </si>
  <si>
    <t xml:space="preserve">CR1,CR2,CR3,CR4,CR5,CR6</t>
  </si>
  <si>
    <t xml:space="preserve">100n 100V C0G</t>
  </si>
  <si>
    <t xml:space="preserve">C1206N104J101T</t>
  </si>
  <si>
    <t xml:space="preserve">IHHEC</t>
  </si>
  <si>
    <t xml:space="preserve">C2940749</t>
  </si>
  <si>
    <t xml:space="preserve">1,802 pcs, 6 per board (300 boards). CCTC 100 nF 100 V C0G 1206 (C20539418, 10 k pcs) is the 2nd source.</t>
  </si>
  <si>
    <t xml:space="preserve">TCC1206M3L104J101HT (CCTC)</t>
  </si>
  <si>
    <t xml:space="preserve">CCTC TCC1206M3L104J101HT</t>
  </si>
  <si>
    <t xml:space="preserve">C20539418</t>
  </si>
  <si>
    <t xml:space="preserve">CGA1206M3L104J101MT (HRE)</t>
  </si>
  <si>
    <t xml:space="preserve">HRE CGA1206M3L104J101MT</t>
  </si>
  <si>
    <t xml:space="preserve">C22440581</t>
  </si>
  <si>
    <t xml:space="preserve">D2,D6,D8,D9</t>
  </si>
  <si>
    <t xml:space="preserve">SS110</t>
  </si>
  <si>
    <t xml:space="preserve">Guangdong Hottech</t>
  </si>
  <si>
    <t xml:space="preserve">C224219</t>
  </si>
  <si>
    <t xml:space="preserve">1,360 pcs, 4 per board. Recommend switching primary to MDD SS110 (C2482, 163 k pcs, JLC basic part).</t>
  </si>
  <si>
    <t xml:space="preserve">SS110 (MDD(Microdiode Semiconductor))</t>
  </si>
  <si>
    <t xml:space="preserve">MDD SS110</t>
  </si>
  <si>
    <t xml:space="preserve">C2482</t>
  </si>
  <si>
    <t xml:space="preserve">STPS1H100A (ST)</t>
  </si>
  <si>
    <t xml:space="preserve">ST STPS1H100A</t>
  </si>
  <si>
    <t xml:space="preserve">C165701</t>
  </si>
  <si>
    <t xml:space="preserve">F1</t>
  </si>
  <si>
    <t xml:space="preserve">0458007.DR</t>
  </si>
  <si>
    <t xml:space="preserve">Littelfuse</t>
  </si>
  <si>
    <t xml:space="preserve">C206980</t>
  </si>
  <si>
    <t xml:space="preserve">765 pcs. Reomax R12.000.7 (C5383192, 7 A 63 V DC 1206, 100 A breaking) verified as 2nd source.</t>
  </si>
  <si>
    <t xml:space="preserve">R12.000.7 (Reomax)</t>
  </si>
  <si>
    <t xml:space="preserve">Reomax R12.000.7 (check 7A/63V)</t>
  </si>
  <si>
    <t xml:space="preserve">C5383192</t>
  </si>
  <si>
    <t xml:space="preserve">3413.0326.11 (SCHURTER)</t>
  </si>
  <si>
    <t xml:space="preserve">Schurter 3413.0326.11</t>
  </si>
  <si>
    <t xml:space="preserve">C3165071</t>
  </si>
  <si>
    <t xml:space="preserve">Q11</t>
  </si>
  <si>
    <t xml:space="preserve">FDN86246</t>
  </si>
  <si>
    <t xml:space="preserve">onsemi</t>
  </si>
  <si>
    <t xml:space="preserve">C891118</t>
  </si>
  <si>
    <t xml:space="preserve">1,606 pcs. HUASHUO HSS2N15 (150 V, 1.8 A, SOT-23) and Cmos CMN2N15M (150 V) as alternates - check Vgs(th) vs UC3843 10 V drive (fine).</t>
  </si>
  <si>
    <t xml:space="preserve">HSS2N15 (HUASHUO)</t>
  </si>
  <si>
    <t xml:space="preserve">HUASHUO HSS2N15 (check 150V)</t>
  </si>
  <si>
    <t xml:space="preserve">C2987707</t>
  </si>
  <si>
    <t xml:space="preserve">CMN2N15M (Cmos)</t>
  </si>
  <si>
    <t xml:space="preserve">Cmos CMN2N15M (check 150V)</t>
  </si>
  <si>
    <t xml:space="preserve">C41410537</t>
  </si>
  <si>
    <t xml:space="preserve">R81</t>
  </si>
  <si>
    <t xml:space="preserve">191k 0.1%</t>
  </si>
  <si>
    <t xml:space="preserve">RT1206BRD07191KL</t>
  </si>
  <si>
    <t xml:space="preserve">C870479</t>
  </si>
  <si>
    <t xml:space="preserve">Only one 191k 0.1 % 1206 in stock on LCSC (4,755 pcs, 1 per board); no LCSC alternate - fallback Panasonic ERA-8AEB1913V / Vishay TNPW1206191KBEEA from Digikey/Mouser.</t>
  </si>
  <si>
    <t xml:space="preserve">U9</t>
  </si>
  <si>
    <t xml:space="preserve">CA-IS3062VW</t>
  </si>
  <si>
    <t xml:space="preserve">Chipanalog</t>
  </si>
  <si>
    <t xml:space="preserve">C5338808</t>
  </si>
  <si>
    <t xml:space="preserve">4,777 pcs, but no drop-in: CA-IS3062W (C2890050) has no integrated isolated supply. Keep stock in mind for large builds.</t>
  </si>
  <si>
    <t xml:space="preserve">C6,C12</t>
  </si>
  <si>
    <t xml:space="preserve">100n 100V X7R</t>
  </si>
  <si>
    <t xml:space="preserve">0603B104K101NT</t>
  </si>
  <si>
    <t xml:space="preserve">FH</t>
  </si>
  <si>
    <t xml:space="preserve">C88219</t>
  </si>
  <si>
    <t xml:space="preserve">Stock fine.</t>
  </si>
  <si>
    <t xml:space="preserve">CC0603KRX7R0BB104 (YAGEO)</t>
  </si>
  <si>
    <t xml:space="preserve">Yageo CC0603KRX7R0BB104 100V</t>
  </si>
  <si>
    <t xml:space="preserve">C113803</t>
  </si>
  <si>
    <t xml:space="preserve">AM03B104K101NT (FH)</t>
  </si>
  <si>
    <t xml:space="preserve">FH AM03B104K101NT</t>
  </si>
  <si>
    <t xml:space="preserve">C42959888</t>
  </si>
  <si>
    <t xml:space="preserve">C15,C18,C67</t>
  </si>
  <si>
    <t xml:space="preserve">100n 25V X7R</t>
  </si>
  <si>
    <t xml:space="preserve">CC0603KRX7R9BB104</t>
  </si>
  <si>
    <t xml:space="preserve">C14663</t>
  </si>
  <si>
    <t xml:space="preserve">0603B104K500CT (Walsin)</t>
  </si>
  <si>
    <t xml:space="preserve">Walsin 0603B104K500CT</t>
  </si>
  <si>
    <t xml:space="preserve">C314282</t>
  </si>
  <si>
    <t xml:space="preserve">VJ0603Y104KXACW1BC (VISHAY)</t>
  </si>
  <si>
    <t xml:space="preserve">Vishay VJ0603Y104KXACW1BC</t>
  </si>
  <si>
    <t xml:space="preserve">C161854</t>
  </si>
  <si>
    <t xml:space="preserve">C16,C19,C68,C69,C88</t>
  </si>
  <si>
    <t xml:space="preserve">1u 25V X7R</t>
  </si>
  <si>
    <t xml:space="preserve">CL10A105KB8NNNC</t>
  </si>
  <si>
    <t xml:space="preserve">C15849</t>
  </si>
  <si>
    <t xml:space="preserve">0603X105K500NT (FH)</t>
  </si>
  <si>
    <t xml:space="preserve">FH 0603X105K500NT</t>
  </si>
  <si>
    <t xml:space="preserve">C157684</t>
  </si>
  <si>
    <t xml:space="preserve">CC0603KRX5R9BB105 (YAGEO)</t>
  </si>
  <si>
    <t xml:space="preserve">Yageo CC0603KRX5R9BB105</t>
  </si>
  <si>
    <t xml:space="preserve">C128624</t>
  </si>
  <si>
    <t xml:space="preserve">C17,C20,C22,C23,C71,C89</t>
  </si>
  <si>
    <t xml:space="preserve">100n 25V</t>
  </si>
  <si>
    <t xml:space="preserve">CL05B104KB54PNC</t>
  </si>
  <si>
    <t xml:space="preserve">CC0402KRX7R9BB104 (YAGEO)</t>
  </si>
  <si>
    <t xml:space="preserve">Yageo CC0402KRX7R9BB104</t>
  </si>
  <si>
    <t xml:space="preserve">C131394</t>
  </si>
  <si>
    <t xml:space="preserve">0402B104K500NT (FH)</t>
  </si>
  <si>
    <t xml:space="preserve">FH 0402B104K500NT</t>
  </si>
  <si>
    <t xml:space="preserve">C110251</t>
  </si>
  <si>
    <t xml:space="preserve">C21,C24,C25,C26,C72,C96,C97,C49,C52</t>
  </si>
  <si>
    <t xml:space="preserve">10u 25V X5R</t>
  </si>
  <si>
    <t xml:space="preserve">CL21A106KAYNNNE</t>
  </si>
  <si>
    <t xml:space="preserve">C15850</t>
  </si>
  <si>
    <t xml:space="preserve">TCC0805X5R106K350FT (CCTC)</t>
  </si>
  <si>
    <t xml:space="preserve">CCTC TCC0805X5R106K350FT</t>
  </si>
  <si>
    <t xml:space="preserve">C18185754</t>
  </si>
  <si>
    <t xml:space="preserve">GRM21BR6YA106KE43L (muRata)</t>
  </si>
  <si>
    <t xml:space="preserve">Murata GRM21BR6YA106KE43L</t>
  </si>
  <si>
    <t xml:space="preserve">C162422</t>
  </si>
  <si>
    <t xml:space="preserve">C27,C73</t>
  </si>
  <si>
    <t xml:space="preserve">22u 10V X5R</t>
  </si>
  <si>
    <t xml:space="preserve">CL21A226MAQNNNE</t>
  </si>
  <si>
    <t xml:space="preserve">C45783</t>
  </si>
  <si>
    <t xml:space="preserve">TCC0805X5R226M250FT (CCTC)</t>
  </si>
  <si>
    <t xml:space="preserve">CCTC TCC0805X5R226M250FT</t>
  </si>
  <si>
    <t xml:space="preserve">C20416420</t>
  </si>
  <si>
    <t xml:space="preserve">0805X226M250NT (FH)</t>
  </si>
  <si>
    <t xml:space="preserve">FH 0805X226M250NT</t>
  </si>
  <si>
    <t xml:space="preserve">C129303</t>
  </si>
  <si>
    <t xml:space="preserve">C35</t>
  </si>
  <si>
    <t xml:space="preserve">4.7u 10V</t>
  </si>
  <si>
    <t xml:space="preserve">CL10A475KO8NNNC</t>
  </si>
  <si>
    <t xml:space="preserve">C19666</t>
  </si>
  <si>
    <t xml:space="preserve">EMK107ABJ475KA-T (Taiyo Yuden)</t>
  </si>
  <si>
    <t xml:space="preserve">Taiyo Yuden EMK107ABJ475KA-T</t>
  </si>
  <si>
    <t xml:space="preserve">C92758</t>
  </si>
  <si>
    <t xml:space="preserve">GRM188R61E475KE11D (muRata)</t>
  </si>
  <si>
    <t xml:space="preserve">Murata GRM188R61E475KE11D</t>
  </si>
  <si>
    <t xml:space="preserve">C90057</t>
  </si>
  <si>
    <t xml:space="preserve">C38,C39</t>
  </si>
  <si>
    <t xml:space="preserve">12p C0G</t>
  </si>
  <si>
    <t xml:space="preserve">0402CG120J500NT</t>
  </si>
  <si>
    <t xml:space="preserve">C1547</t>
  </si>
  <si>
    <t xml:space="preserve">0402CG120F500NT (FH)</t>
  </si>
  <si>
    <t xml:space="preserve">FH 0402CG120F500NT</t>
  </si>
  <si>
    <t xml:space="preserve">C182477</t>
  </si>
  <si>
    <t xml:space="preserve">AM02CG120J500NT (FH)</t>
  </si>
  <si>
    <t xml:space="preserve">FH AM02CG120J500NT</t>
  </si>
  <si>
    <t xml:space="preserve">C49238110</t>
  </si>
  <si>
    <t xml:space="preserve">C41,C42,C79,C91,C92</t>
  </si>
  <si>
    <t xml:space="preserve">1n C0G</t>
  </si>
  <si>
    <t xml:space="preserve">CC0402JRNPO9BN102</t>
  </si>
  <si>
    <t xml:space="preserve">C113780</t>
  </si>
  <si>
    <t xml:space="preserve">0402N102J500CT (Walsin)</t>
  </si>
  <si>
    <t xml:space="preserve">Walsin 0402N102J500CT</t>
  </si>
  <si>
    <t xml:space="preserve">C237166</t>
  </si>
  <si>
    <t xml:space="preserve">AC0402JRNPO9BN102 (YAGEO)</t>
  </si>
  <si>
    <t xml:space="preserve">Yageo AC0402JRNPO9BN102</t>
  </si>
  <si>
    <t xml:space="preserve">C427014</t>
  </si>
  <si>
    <t xml:space="preserve">C45</t>
  </si>
  <si>
    <t xml:space="preserve">470p C0G</t>
  </si>
  <si>
    <t xml:space="preserve">CC0402JRNPO9BN471</t>
  </si>
  <si>
    <t xml:space="preserve">C106259</t>
  </si>
  <si>
    <t xml:space="preserve">0402N471J500CT (Walsin)</t>
  </si>
  <si>
    <t xml:space="preserve">Walsin 0402N471J500CT</t>
  </si>
  <si>
    <t xml:space="preserve">C295986</t>
  </si>
  <si>
    <t xml:space="preserve">CC0402GRNPO9BN471 (YAGEO)</t>
  </si>
  <si>
    <t xml:space="preserve">Yageo CC0402GRNPO9BN471</t>
  </si>
  <si>
    <t xml:space="preserve">C541429</t>
  </si>
  <si>
    <t xml:space="preserve">C47</t>
  </si>
  <si>
    <t xml:space="preserve">10n C0G</t>
  </si>
  <si>
    <t xml:space="preserve">GRM1555C1H103JE01D</t>
  </si>
  <si>
    <t xml:space="preserve">muRata</t>
  </si>
  <si>
    <t xml:space="preserve">C22400107</t>
  </si>
  <si>
    <t xml:space="preserve">GRM1555C1E103JE01D (muRata)</t>
  </si>
  <si>
    <t xml:space="preserve">Murata GRM1555C1E103JE01D C0G 25V</t>
  </si>
  <si>
    <t xml:space="preserve">C3855387</t>
  </si>
  <si>
    <t xml:space="preserve">CGA0402C0G103J250GT (HRE)</t>
  </si>
  <si>
    <t xml:space="preserve">HRE CGA0402C0G103J250GT C0G 25V</t>
  </si>
  <si>
    <t xml:space="preserve">C36911359</t>
  </si>
  <si>
    <t xml:space="preserve">C55</t>
  </si>
  <si>
    <t xml:space="preserve">4.7n</t>
  </si>
  <si>
    <t xml:space="preserve">0603B472K500NT</t>
  </si>
  <si>
    <t xml:space="preserve">C53987</t>
  </si>
  <si>
    <t xml:space="preserve">0603B472K101NT (FH)</t>
  </si>
  <si>
    <t xml:space="preserve">FH 0603B472K101NT</t>
  </si>
  <si>
    <t xml:space="preserve">C12164</t>
  </si>
  <si>
    <t xml:space="preserve">0603B472J500NT (FH)</t>
  </si>
  <si>
    <t xml:space="preserve">FH 0603B472J500NT</t>
  </si>
  <si>
    <t xml:space="preserve">C168956</t>
  </si>
  <si>
    <t xml:space="preserve">C81,C93</t>
  </si>
  <si>
    <t xml:space="preserve">220p C0G</t>
  </si>
  <si>
    <t xml:space="preserve">CC0402JRNPO9BN221</t>
  </si>
  <si>
    <t xml:space="preserve">C107001</t>
  </si>
  <si>
    <t xml:space="preserve">0402N221J500CT (Walsin)</t>
  </si>
  <si>
    <t xml:space="preserve">Walsin 0402N221J500CT</t>
  </si>
  <si>
    <t xml:space="preserve">C301973</t>
  </si>
  <si>
    <t xml:space="preserve">CC0402GRNPO9BN221 (YAGEO)</t>
  </si>
  <si>
    <t xml:space="preserve">Yageo CC0402GRNPO9BN221</t>
  </si>
  <si>
    <t xml:space="preserve">C541425</t>
  </si>
  <si>
    <t xml:space="preserve">C94</t>
  </si>
  <si>
    <t xml:space="preserve">4.7n 100V X7R</t>
  </si>
  <si>
    <t xml:space="preserve">CC0603KRX7R0BB472</t>
  </si>
  <si>
    <t xml:space="preserve">C115052</t>
  </si>
  <si>
    <t xml:space="preserve">FH 0603B472K101NT 100V</t>
  </si>
  <si>
    <t xml:space="preserve">0603B472K101CT (Walsin)</t>
  </si>
  <si>
    <t xml:space="preserve">Walsin 0603B472K101CT</t>
  </si>
  <si>
    <t xml:space="preserve">C152940</t>
  </si>
  <si>
    <t xml:space="preserve">D1</t>
  </si>
  <si>
    <t xml:space="preserve">SMBJ51A</t>
  </si>
  <si>
    <t xml:space="preserve">OTW</t>
  </si>
  <si>
    <t xml:space="preserve">C20883337</t>
  </si>
  <si>
    <t xml:space="preserve">SMBJ51A (Littelfuse)</t>
  </si>
  <si>
    <t xml:space="preserve">Littelfuse SMBJ51A</t>
  </si>
  <si>
    <t xml:space="preserve">C1973217</t>
  </si>
  <si>
    <t xml:space="preserve">SMBJ51A (RUILON)</t>
  </si>
  <si>
    <t xml:space="preserve">RUILON SMBJ51A</t>
  </si>
  <si>
    <t xml:space="preserve">C10225</t>
  </si>
  <si>
    <t xml:space="preserve">D3</t>
  </si>
  <si>
    <t xml:space="preserve">NUP2105LT1G</t>
  </si>
  <si>
    <t xml:space="preserve">C14486</t>
  </si>
  <si>
    <t xml:space="preserve">DUP2105SOQ-TP (TECH PUBLIC)</t>
  </si>
  <si>
    <t xml:space="preserve">TECH PUBLIC DUP2105SOQ-TP (check pinout)</t>
  </si>
  <si>
    <t xml:space="preserve">C55114139</t>
  </si>
  <si>
    <t xml:space="preserve">ESD2402EB (YANGJIE)</t>
  </si>
  <si>
    <t xml:space="preserve">YANGJIE ESD2402EB (check pinout)</t>
  </si>
  <si>
    <t xml:space="preserve">C20600685</t>
  </si>
  <si>
    <t xml:space="preserve">D4</t>
  </si>
  <si>
    <t xml:space="preserve">GREEN RUN</t>
  </si>
  <si>
    <t xml:space="preserve">KT-0603G</t>
  </si>
  <si>
    <t xml:space="preserve">Hubei KENTO Elec</t>
  </si>
  <si>
    <t xml:space="preserve">C12624</t>
  </si>
  <si>
    <t xml:space="preserve">19-217/GHC-YR1S2/6T (EVERLIGHT)</t>
  </si>
  <si>
    <t xml:space="preserve">Everlight 19-217/GHC-YR1S2/6T</t>
  </si>
  <si>
    <t xml:space="preserve">C2986059</t>
  </si>
  <si>
    <t xml:space="preserve">19-217/G7C-AN1P2/6T (EVERLIGHT)</t>
  </si>
  <si>
    <t xml:space="preserve">Everlight 19-217/G7C-AN1P2/6T (yellow-green)</t>
  </si>
  <si>
    <t xml:space="preserve">C2986030</t>
  </si>
  <si>
    <t xml:space="preserve">D5</t>
  </si>
  <si>
    <t xml:space="preserve">RED FAULT</t>
  </si>
  <si>
    <t xml:space="preserve">KT-0603R</t>
  </si>
  <si>
    <t xml:space="preserve">C2286</t>
  </si>
  <si>
    <t xml:space="preserve">19-217/R6C-AL1M2VY/6T (EVERLIGHT)</t>
  </si>
  <si>
    <t xml:space="preserve">Everlight 19-217/R6C-AL1M2VY/6T</t>
  </si>
  <si>
    <t xml:space="preserve">C2986060</t>
  </si>
  <si>
    <t xml:space="preserve">19-217/R6C-P1Q2/6T (EVERLIGHT)</t>
  </si>
  <si>
    <t xml:space="preserve">Everlight 19-217/R6C-P1Q2/6T</t>
  </si>
  <si>
    <t xml:space="preserve">C2986061</t>
  </si>
  <si>
    <t xml:space="preserve">D7</t>
  </si>
  <si>
    <t xml:space="preserve">1N4148W</t>
  </si>
  <si>
    <t xml:space="preserve">ST(Semtech)</t>
  </si>
  <si>
    <t xml:space="preserve">C81598</t>
  </si>
  <si>
    <t xml:space="preserve">2.9 M pcs (JLC basic).</t>
  </si>
  <si>
    <t xml:space="preserve">1N4448W (ST(Semtech))</t>
  </si>
  <si>
    <t xml:space="preserve">1N4448W</t>
  </si>
  <si>
    <t xml:space="preserve">C108428</t>
  </si>
  <si>
    <t xml:space="preserve">Q1,Q4</t>
  </si>
  <si>
    <t xml:space="preserve">NCEP0140AG</t>
  </si>
  <si>
    <t xml:space="preserve">C503009</t>
  </si>
  <si>
    <t xml:space="preserve">NCE NCEP095N10AG (check Qg/Rds)</t>
  </si>
  <si>
    <t xml:space="preserve">Q7,Q8</t>
  </si>
  <si>
    <t xml:space="preserve">BSC160N15NS5</t>
  </si>
  <si>
    <t xml:space="preserve">Infineon</t>
  </si>
  <si>
    <t xml:space="preserve">C459172</t>
  </si>
  <si>
    <t xml:space="preserve">LN7910DT1WG (LRC)</t>
  </si>
  <si>
    <t xml:space="preserve">LRC LN7910DT1WG (check 150V)</t>
  </si>
  <si>
    <t xml:space="preserve">C2936692</t>
  </si>
  <si>
    <t xml:space="preserve">SP015N13GHNK (Siliup)</t>
  </si>
  <si>
    <t xml:space="preserve">Siliup SP015N13GHNK (check Vds)</t>
  </si>
  <si>
    <t xml:space="preserve">C22466810</t>
  </si>
  <si>
    <t xml:space="preserve">Q9</t>
  </si>
  <si>
    <t xml:space="preserve">MMBT3906</t>
  </si>
  <si>
    <t xml:space="preserve">MMBT3906LT1G</t>
  </si>
  <si>
    <t xml:space="preserve">C53444</t>
  </si>
  <si>
    <t xml:space="preserve">PMBT3906,215 (Nexperia)</t>
  </si>
  <si>
    <t xml:space="preserve">Nexperia PMBT3906,215</t>
  </si>
  <si>
    <t xml:space="preserve">C8670</t>
  </si>
  <si>
    <t xml:space="preserve">S-LMBT3906LT1G (LRC)</t>
  </si>
  <si>
    <t xml:space="preserve">LRC S-LMBT3906LT1G</t>
  </si>
  <si>
    <t xml:space="preserve">C383300</t>
  </si>
  <si>
    <t xml:space="preserve">Q10</t>
  </si>
  <si>
    <t xml:space="preserve">2N7002</t>
  </si>
  <si>
    <t xml:space="preserve">JSCJ</t>
  </si>
  <si>
    <t xml:space="preserve">C8545</t>
  </si>
  <si>
    <t xml:space="preserve">BSS123 (JSCJ)</t>
  </si>
  <si>
    <t xml:space="preserve">JSCJ BSS123 (100V)</t>
  </si>
  <si>
    <t xml:space="preserve">C79015</t>
  </si>
  <si>
    <t xml:space="preserve">CJ2310 (JSCJ)</t>
  </si>
  <si>
    <t xml:space="preserve">JSCJ CJ2310</t>
  </si>
  <si>
    <t xml:space="preserve">C75882</t>
  </si>
  <si>
    <t xml:space="preserve">R1</t>
  </si>
  <si>
    <t xml:space="preserve">47k</t>
  </si>
  <si>
    <t xml:space="preserve">FRC1206J473 TS</t>
  </si>
  <si>
    <t xml:space="preserve">FOJAN</t>
  </si>
  <si>
    <t xml:space="preserve">C2907507</t>
  </si>
  <si>
    <t xml:space="preserve">RC1206FR-0747KL (YAGEO)</t>
  </si>
  <si>
    <t xml:space="preserve">Yageo RC1206FR-0747KL</t>
  </si>
  <si>
    <t xml:space="preserve">C137270</t>
  </si>
  <si>
    <t xml:space="preserve">FRC1206F4702TS (FOJAN)</t>
  </si>
  <si>
    <t xml:space="preserve">FOJAN FRC1206F4702TS</t>
  </si>
  <si>
    <t xml:space="preserve">C2933708</t>
  </si>
  <si>
    <t xml:space="preserve">R4,R5,R10,R11,R68,R69</t>
  </si>
  <si>
    <t xml:space="preserve">4R7</t>
  </si>
  <si>
    <t xml:space="preserve">0603WAF470KT5E</t>
  </si>
  <si>
    <t xml:space="preserve">C23164</t>
  </si>
  <si>
    <t xml:space="preserve">FRC0603F4R70TS (FOJAN)</t>
  </si>
  <si>
    <t xml:space="preserve">FOJAN FRC0603F4R70TS</t>
  </si>
  <si>
    <t xml:space="preserve">C2907035</t>
  </si>
  <si>
    <t xml:space="preserve">RC0603FR-074R7L (YAGEO)</t>
  </si>
  <si>
    <t xml:space="preserve">Yageo RC0603FR-074R7L</t>
  </si>
  <si>
    <t xml:space="preserve">C137705</t>
  </si>
  <si>
    <t xml:space="preserve">R16,R18,R86</t>
  </si>
  <si>
    <t xml:space="preserve">56k 1%</t>
  </si>
  <si>
    <t xml:space="preserve">0402WGF5602TCE</t>
  </si>
  <si>
    <t xml:space="preserve">C25796</t>
  </si>
  <si>
    <t xml:space="preserve">RC0402FR-0756KL (YAGEO)</t>
  </si>
  <si>
    <t xml:space="preserve">Yageo RC0402FR-0756KL</t>
  </si>
  <si>
    <t xml:space="preserve">C114756</t>
  </si>
  <si>
    <t xml:space="preserve">FRC0402F5602TS (FOJAN)</t>
  </si>
  <si>
    <t xml:space="preserve">FOJAN FRC0402F5602TS</t>
  </si>
  <si>
    <t xml:space="preserve">C2906875</t>
  </si>
  <si>
    <t xml:space="preserve">R17,R88</t>
  </si>
  <si>
    <t xml:space="preserve">15k 1%</t>
  </si>
  <si>
    <t xml:space="preserve">0402WGF1502TCE</t>
  </si>
  <si>
    <t xml:space="preserve">C25756</t>
  </si>
  <si>
    <t xml:space="preserve">RC0402FR-0715KL (YAGEO)</t>
  </si>
  <si>
    <t xml:space="preserve">Yageo RC0402FR-0715KL</t>
  </si>
  <si>
    <t xml:space="preserve">C114761</t>
  </si>
  <si>
    <t xml:space="preserve">FRC0402F1502TS (FOJAN)</t>
  </si>
  <si>
    <t xml:space="preserve">FOJAN FRC0402F1502TS</t>
  </si>
  <si>
    <t xml:space="preserve">C2909322</t>
  </si>
  <si>
    <t xml:space="preserve">R21,R23</t>
  </si>
  <si>
    <t xml:space="preserve">100k 0.1%</t>
  </si>
  <si>
    <t xml:space="preserve">RT0603BRD07100KL</t>
  </si>
  <si>
    <t xml:space="preserve">C122538</t>
  </si>
  <si>
    <t xml:space="preserve">TNPW0603100KBEEA (VISHAY)</t>
  </si>
  <si>
    <t xml:space="preserve">Vishay TNPW0603100KBEEA</t>
  </si>
  <si>
    <t xml:space="preserve">C844888</t>
  </si>
  <si>
    <t xml:space="preserve">ERA3AEB104V (PANASONIC)</t>
  </si>
  <si>
    <t xml:space="preserve">Panasonic ERA3AEB104V</t>
  </si>
  <si>
    <t xml:space="preserve">C190609</t>
  </si>
  <si>
    <t xml:space="preserve">R22,R24</t>
  </si>
  <si>
    <t xml:space="preserve">5.1k 0.1%</t>
  </si>
  <si>
    <t xml:space="preserve">RN73H1ETTP5101B25</t>
  </si>
  <si>
    <t xml:space="preserve">KOA</t>
  </si>
  <si>
    <t xml:space="preserve">C186154</t>
  </si>
  <si>
    <t xml:space="preserve">RT0402BRD075K1L (YAGEO)</t>
  </si>
  <si>
    <t xml:space="preserve">Yageo RT0402BRD075K1L</t>
  </si>
  <si>
    <t xml:space="preserve">C852856</t>
  </si>
  <si>
    <t xml:space="preserve">TNPW04025K10BEED (VISHAY)</t>
  </si>
  <si>
    <t xml:space="preserve">Vishay TNPW04025K10BEED</t>
  </si>
  <si>
    <t xml:space="preserve">C2088796</t>
  </si>
  <si>
    <t xml:space="preserve">R25,R26</t>
  </si>
  <si>
    <t xml:space="preserve">1k 0.1%</t>
  </si>
  <si>
    <t xml:space="preserve">RN73H1ETTP1001B25</t>
  </si>
  <si>
    <t xml:space="preserve">C186137</t>
  </si>
  <si>
    <t xml:space="preserve">RT0402BRD071KL (YAGEO)</t>
  </si>
  <si>
    <t xml:space="preserve">Yageo RT0402BRD071KL</t>
  </si>
  <si>
    <t xml:space="preserve">C852624</t>
  </si>
  <si>
    <t xml:space="preserve">ARG02BTC1001 (Viking)</t>
  </si>
  <si>
    <t xml:space="preserve">Viking ARG02BTC1001</t>
  </si>
  <si>
    <t xml:space="preserve">C2984405</t>
  </si>
  <si>
    <t xml:space="preserve">R27</t>
  </si>
  <si>
    <t xml:space="preserve">100R</t>
  </si>
  <si>
    <t xml:space="preserve">0402WGF1000TCE</t>
  </si>
  <si>
    <t xml:space="preserve">C25076</t>
  </si>
  <si>
    <t xml:space="preserve">RC0402FR-07100RL (YAGEO)</t>
  </si>
  <si>
    <t xml:space="preserve">Yageo RC0402FR-07100RL</t>
  </si>
  <si>
    <t xml:space="preserve">C106232</t>
  </si>
  <si>
    <t xml:space="preserve">FRC0402F1000TS (FOJAN)</t>
  </si>
  <si>
    <t xml:space="preserve">FOJAN FRC0402F1000TS</t>
  </si>
  <si>
    <t xml:space="preserve">C2906860</t>
  </si>
  <si>
    <t xml:space="preserve">R28,R38,R39,R40,R41,R42,R43,R44,R45,R85,R106,R109,R115,R118</t>
  </si>
  <si>
    <t xml:space="preserve">1k</t>
  </si>
  <si>
    <t xml:space="preserve">0402WGF1001TCE</t>
  </si>
  <si>
    <t xml:space="preserve">C11702</t>
  </si>
  <si>
    <t xml:space="preserve">FRC0402F1001TS (FOJAN)</t>
  </si>
  <si>
    <t xml:space="preserve">FOJAN FRC0402F1001TS</t>
  </si>
  <si>
    <t xml:space="preserve">C2906864</t>
  </si>
  <si>
    <t xml:space="preserve">RC0402FR-071KL (YAGEO)</t>
  </si>
  <si>
    <t xml:space="preserve">Yageo RC0402FR-071KL</t>
  </si>
  <si>
    <t xml:space="preserve">C106235</t>
  </si>
  <si>
    <t xml:space="preserve">R30,R31</t>
  </si>
  <si>
    <t xml:space="preserve">60.4R</t>
  </si>
  <si>
    <t xml:space="preserve">FRC0603F60R4TS</t>
  </si>
  <si>
    <t xml:space="preserve">C2933247</t>
  </si>
  <si>
    <t xml:space="preserve">423 k pcs; Yageo RC0603FR-0760R4L 2nd; no 3rd 60.4R 0603 in stock (62R 1 % FOJAN would also do for CAN split termination).</t>
  </si>
  <si>
    <t xml:space="preserve">RC0603FR-0760R4L (YAGEO)</t>
  </si>
  <si>
    <t xml:space="preserve">Yageo RC0603FR-0760R4L</t>
  </si>
  <si>
    <t xml:space="preserve">C245987</t>
  </si>
  <si>
    <t xml:space="preserve">R75</t>
  </si>
  <si>
    <t xml:space="preserve">470k</t>
  </si>
  <si>
    <t xml:space="preserve">0603WAF4703T5E</t>
  </si>
  <si>
    <t xml:space="preserve">C23178</t>
  </si>
  <si>
    <t xml:space="preserve">RC0603FR-07470KL (YAGEO)</t>
  </si>
  <si>
    <t xml:space="preserve">Yageo RC0603FR-07470KL</t>
  </si>
  <si>
    <t xml:space="preserve">C114622</t>
  </si>
  <si>
    <t xml:space="preserve">FRC0603F4703TS (FOJAN)</t>
  </si>
  <si>
    <t xml:space="preserve">FOJAN FRC0603F4703TS</t>
  </si>
  <si>
    <t xml:space="preserve">C2907040</t>
  </si>
  <si>
    <t xml:space="preserve">R76</t>
  </si>
  <si>
    <t xml:space="preserve">68k</t>
  </si>
  <si>
    <t xml:space="preserve">0402WGF6802TCE</t>
  </si>
  <si>
    <t xml:space="preserve">C36871</t>
  </si>
  <si>
    <t xml:space="preserve">RC0402FR-0768KL (YAGEO)</t>
  </si>
  <si>
    <t xml:space="preserve">Yageo RC0402FR-0768KL</t>
  </si>
  <si>
    <t xml:space="preserve">C137947</t>
  </si>
  <si>
    <t xml:space="preserve">FRC0402F6802TS (FOJAN)</t>
  </si>
  <si>
    <t xml:space="preserve">FOJAN FRC0402F6802TS</t>
  </si>
  <si>
    <t xml:space="preserve">C2909379</t>
  </si>
  <si>
    <t xml:space="preserve">R77</t>
  </si>
  <si>
    <t xml:space="preserve">120k 1%</t>
  </si>
  <si>
    <t xml:space="preserve">0402WGF1203TCE</t>
  </si>
  <si>
    <t xml:space="preserve">C25750</t>
  </si>
  <si>
    <t xml:space="preserve">RC0402FR-07120KL (YAGEO)</t>
  </si>
  <si>
    <t xml:space="preserve">Yageo RC0402FR-07120KL</t>
  </si>
  <si>
    <t xml:space="preserve">C93945</t>
  </si>
  <si>
    <t xml:space="preserve">FRC0402F1203TS (FOJAN)</t>
  </si>
  <si>
    <t xml:space="preserve">FOJAN FRC0402F1203TS</t>
  </si>
  <si>
    <t xml:space="preserve">C2909314</t>
  </si>
  <si>
    <t xml:space="preserve">R84</t>
  </si>
  <si>
    <t xml:space="preserve">2.2M</t>
  </si>
  <si>
    <t xml:space="preserve">0402WGF2204TCE</t>
  </si>
  <si>
    <t xml:space="preserve">C11490</t>
  </si>
  <si>
    <t xml:space="preserve">RC0402FR-072M2L (YAGEO)</t>
  </si>
  <si>
    <t xml:space="preserve">Yageo RC0402FR-072M2L</t>
  </si>
  <si>
    <t xml:space="preserve">C138015</t>
  </si>
  <si>
    <t xml:space="preserve">FRC0402F2204TS (FOJAN)</t>
  </si>
  <si>
    <t xml:space="preserve">FOJAN FRC0402F2204TS</t>
  </si>
  <si>
    <t xml:space="preserve">C2998080</t>
  </si>
  <si>
    <t xml:space="preserve">R107</t>
  </si>
  <si>
    <t xml:space="preserve">100k</t>
  </si>
  <si>
    <t xml:space="preserve">0402WGF1003TCE</t>
  </si>
  <si>
    <t xml:space="preserve">C25741</t>
  </si>
  <si>
    <t xml:space="preserve">RC0402FR-07100KL (YAGEO)</t>
  </si>
  <si>
    <t xml:space="preserve">Yageo RC0402FR-07100KL</t>
  </si>
  <si>
    <t xml:space="preserve">C60491</t>
  </si>
  <si>
    <t xml:space="preserve">FRC0402F1003TS (FOJAN)</t>
  </si>
  <si>
    <t xml:space="preserve">FOJAN FRC0402F1003TS</t>
  </si>
  <si>
    <t xml:space="preserve">C2906859</t>
  </si>
  <si>
    <t xml:space="preserve">R110</t>
  </si>
  <si>
    <t xml:space="preserve">4.7M</t>
  </si>
  <si>
    <t xml:space="preserve">AC0402FR-074M7L</t>
  </si>
  <si>
    <t xml:space="preserve">C227116</t>
  </si>
  <si>
    <t xml:space="preserve">FRC0402F4704TS (FOJAN)</t>
  </si>
  <si>
    <t xml:space="preserve">FOJAN FRC0402F4704TS</t>
  </si>
  <si>
    <t xml:space="preserve">C3013173</t>
  </si>
  <si>
    <t xml:space="preserve">RC0402FR-074M7L (YAGEO)</t>
  </si>
  <si>
    <t xml:space="preserve">Yageo RC0402FR-074M7L</t>
  </si>
  <si>
    <t xml:space="preserve">C354978</t>
  </si>
  <si>
    <t xml:space="preserve">R112</t>
  </si>
  <si>
    <t xml:space="preserve">10R</t>
  </si>
  <si>
    <t xml:space="preserve">0603WAF100JT5E</t>
  </si>
  <si>
    <t xml:space="preserve">C22859</t>
  </si>
  <si>
    <t xml:space="preserve">RC0603FR-0710RL (YAGEO)</t>
  </si>
  <si>
    <t xml:space="preserve">Yageo RC0603FR-0710RL</t>
  </si>
  <si>
    <t xml:space="preserve">C109318</t>
  </si>
  <si>
    <t xml:space="preserve">FRC0603F10R0TS (FOJAN)</t>
  </si>
  <si>
    <t xml:space="preserve">FOJAN FRC0603F10R0TS</t>
  </si>
  <si>
    <t xml:space="preserve">C2906983</t>
  </si>
  <si>
    <t xml:space="preserve">R114</t>
  </si>
  <si>
    <t xml:space="preserve">0R5 1%</t>
  </si>
  <si>
    <t xml:space="preserve">1206W4F500LT5E</t>
  </si>
  <si>
    <t xml:space="preserve">C25340</t>
  </si>
  <si>
    <t xml:space="preserve">RL1206FR-070R5L (YAGEO)</t>
  </si>
  <si>
    <t xml:space="preserve">Yageo RL1206FR-070R5L</t>
  </si>
  <si>
    <t xml:space="preserve">C327075</t>
  </si>
  <si>
    <t xml:space="preserve">HP06W2F500LT5E (UNI-ROYAL)</t>
  </si>
  <si>
    <t xml:space="preserve">UNI-ROYAL HP06W2F500LT5E</t>
  </si>
  <si>
    <t xml:space="preserve">C2759131</t>
  </si>
  <si>
    <t xml:space="preserve">R116</t>
  </si>
  <si>
    <t xml:space="preserve">4k7</t>
  </si>
  <si>
    <t xml:space="preserve">1206W4F4701T5E</t>
  </si>
  <si>
    <t xml:space="preserve">C17936</t>
  </si>
  <si>
    <t xml:space="preserve">RC1206FR-074K7L (YAGEO)</t>
  </si>
  <si>
    <t xml:space="preserve">Yageo RC1206FR-074K7L</t>
  </si>
  <si>
    <t xml:space="preserve">C137262</t>
  </si>
  <si>
    <t xml:space="preserve">NQ06W4F4701T5E (UNI-ROYAL)</t>
  </si>
  <si>
    <t xml:space="preserve">UNI-ROYAL NQ06W4F4701T5E</t>
  </si>
  <si>
    <t xml:space="preserve">C965034</t>
  </si>
  <si>
    <t xml:space="preserve">R117</t>
  </si>
  <si>
    <t xml:space="preserve">1k5</t>
  </si>
  <si>
    <t xml:space="preserve">0402WGF1501TCE</t>
  </si>
  <si>
    <t xml:space="preserve">C25867</t>
  </si>
  <si>
    <t xml:space="preserve">RC0402FR-071K5L (YAGEO)</t>
  </si>
  <si>
    <t xml:space="preserve">Yageo RC0402FR-071K5L</t>
  </si>
  <si>
    <t xml:space="preserve">C114759</t>
  </si>
  <si>
    <t xml:space="preserve">FRC0402F1501TS (FOJAN)</t>
  </si>
  <si>
    <t xml:space="preserve">FOJAN FRC0402F1501TS</t>
  </si>
  <si>
    <t xml:space="preserve">C2933074</t>
  </si>
  <si>
    <t xml:space="preserve">R119</t>
  </si>
  <si>
    <t xml:space="preserve">30k 1%</t>
  </si>
  <si>
    <t xml:space="preserve">0402WGF3002TCE</t>
  </si>
  <si>
    <t xml:space="preserve">C25776</t>
  </si>
  <si>
    <t xml:space="preserve">RC0402FR-0730KL (YAGEO)</t>
  </si>
  <si>
    <t xml:space="preserve">Yageo RC0402FR-0730KL</t>
  </si>
  <si>
    <t xml:space="preserve">C138008</t>
  </si>
  <si>
    <t xml:space="preserve">FRC0402F3002TS (FOJAN)</t>
  </si>
  <si>
    <t xml:space="preserve">FOJAN FRC0402F3002TS</t>
  </si>
  <si>
    <t xml:space="preserve">C2909347</t>
  </si>
  <si>
    <t xml:space="preserve">R121</t>
  </si>
  <si>
    <t xml:space="preserve">0402WGF4701TCE</t>
  </si>
  <si>
    <t xml:space="preserve">C25900</t>
  </si>
  <si>
    <t xml:space="preserve">RC0402FR-074K7L (YAGEO)</t>
  </si>
  <si>
    <t xml:space="preserve">Yageo RC0402FR-074K7L</t>
  </si>
  <si>
    <t xml:space="preserve">C105871</t>
  </si>
  <si>
    <t xml:space="preserve">CQ02WGF4701TCE (UNI-ROYAL)</t>
  </si>
  <si>
    <t xml:space="preserve">UNI-ROYAL CQ02WGF4701TCE</t>
  </si>
  <si>
    <t xml:space="preserve">C2765614</t>
  </si>
  <si>
    <t xml:space="preserve">RSH1</t>
  </si>
  <si>
    <t xml:space="preserve">10m 1% 1W</t>
  </si>
  <si>
    <t xml:space="preserve">GX2512-2W-10mR-1%</t>
  </si>
  <si>
    <t xml:space="preserve">C500718</t>
  </si>
  <si>
    <t xml:space="preserve">HoYLR2512-3W-10mR-1% (Milliohm)</t>
  </si>
  <si>
    <t xml:space="preserve">Milliohm HoYLR2512-3W-10mR-1%</t>
  </si>
  <si>
    <t xml:space="preserve">C5375464</t>
  </si>
  <si>
    <t xml:space="preserve">HoLLR2512-3W-10mR-1% (Milliohm)</t>
  </si>
  <si>
    <t xml:space="preserve">Milliohm HoLLR2512-3W-10mR-1%</t>
  </si>
  <si>
    <t xml:space="preserve">C2994644</t>
  </si>
  <si>
    <t xml:space="preserve">SW1</t>
  </si>
  <si>
    <t xml:space="preserve">DIP-6</t>
  </si>
  <si>
    <t xml:space="preserve">2.54-6P TPGT</t>
  </si>
  <si>
    <t xml:space="preserve">SHOU HAN</t>
  </si>
  <si>
    <t xml:space="preserve">C6331172</t>
  </si>
  <si>
    <t xml:space="preserve">11,262 pcs; only alternate C2859409 (35 pcs).</t>
  </si>
  <si>
    <t xml:space="preserve">2.54-6P-TPHS (SHOU HAN)</t>
  </si>
  <si>
    <t xml:space="preserve">SHOU HAN 2.54-6P-TPHS</t>
  </si>
  <si>
    <t xml:space="preserve">C2859409</t>
  </si>
  <si>
    <t xml:space="preserve">TH1</t>
  </si>
  <si>
    <t xml:space="preserve">10k B3950</t>
  </si>
  <si>
    <t xml:space="preserve">KNTC0603/10KF3950</t>
  </si>
  <si>
    <t xml:space="preserve">KUU</t>
  </si>
  <si>
    <t xml:space="preserve">C2892547</t>
  </si>
  <si>
    <t xml:space="preserve">CMFB103F3950FANT (FH)</t>
  </si>
  <si>
    <t xml:space="preserve">FH CMFB103F3950FANT</t>
  </si>
  <si>
    <t xml:space="preserve">C51597</t>
  </si>
  <si>
    <t xml:space="preserve">KNTC0603/10KJ3950 (KUU)</t>
  </si>
  <si>
    <t xml:space="preserve">KUU KNTC0603/10KJ3950 (5%)</t>
  </si>
  <si>
    <t xml:space="preserve">C20612968</t>
  </si>
  <si>
    <t xml:space="preserve">U4,U13</t>
  </si>
  <si>
    <t xml:space="preserve">LMR16006XDDCR</t>
  </si>
  <si>
    <t xml:space="preserve">C87080</t>
  </si>
  <si>
    <t xml:space="preserve">LMR16006YDDCR (TI)</t>
  </si>
  <si>
    <t xml:space="preserve">TI LMR16006YDDCR (2.1 MHz version: re-check L2/L3 ripple)</t>
  </si>
  <si>
    <t xml:space="preserve">C290195</t>
  </si>
  <si>
    <t xml:space="preserve">LV2862XLVDDCR (TI)</t>
  </si>
  <si>
    <t xml:space="preserve">TI LV2862XLVDDCR (check pin-compatibility)</t>
  </si>
  <si>
    <t xml:space="preserve">C3200285</t>
  </si>
  <si>
    <t xml:space="preserve">U5</t>
  </si>
  <si>
    <t xml:space="preserve">TLV75533PDBVR</t>
  </si>
  <si>
    <t xml:space="preserve">C404027</t>
  </si>
  <si>
    <t xml:space="preserve">TLV75733PDBVR (TI)</t>
  </si>
  <si>
    <t xml:space="preserve">TI TLV75733PDBVR</t>
  </si>
  <si>
    <t xml:space="preserve">C485517</t>
  </si>
  <si>
    <t xml:space="preserve">RT9013-33GB (RICHTEK)</t>
  </si>
  <si>
    <t xml:space="preserve">Richtek RT9013-33GB</t>
  </si>
  <si>
    <t xml:space="preserve">C47773</t>
  </si>
  <si>
    <t xml:space="preserve">U7</t>
  </si>
  <si>
    <t xml:space="preserve">INA181A1IDBVR</t>
  </si>
  <si>
    <t xml:space="preserve">C2058943</t>
  </si>
  <si>
    <t xml:space="preserve">INA181A1IDBVT (TI)</t>
  </si>
  <si>
    <t xml:space="preserve">TI INA181A1IDBVT</t>
  </si>
  <si>
    <t xml:space="preserve">C2861997</t>
  </si>
  <si>
    <t xml:space="preserve">INA181A1IDBVR(XBLW) (XBLW)</t>
  </si>
  <si>
    <t xml:space="preserve">XBLW INA181A1IDBVR(XBLW)</t>
  </si>
  <si>
    <t xml:space="preserve">C45351496</t>
  </si>
  <si>
    <t xml:space="preserve">U8</t>
  </si>
  <si>
    <t xml:space="preserve">INA181A2IDBVR</t>
  </si>
  <si>
    <t xml:space="preserve">C2058784</t>
  </si>
  <si>
    <t xml:space="preserve">INA181A2IDBVT (TI)</t>
  </si>
  <si>
    <t xml:space="preserve">TI INA181A2IDBVT</t>
  </si>
  <si>
    <t xml:space="preserve">C116200</t>
  </si>
  <si>
    <t xml:space="preserve">INA181A2IDBVR(LX) (lingxingic)</t>
  </si>
  <si>
    <t xml:space="preserve">lingxingic INA181A2IDBVR(LX)</t>
  </si>
  <si>
    <t xml:space="preserve">C53198613</t>
  </si>
  <si>
    <t xml:space="preserve">U11</t>
  </si>
  <si>
    <t xml:space="preserve">UCC27524DR</t>
  </si>
  <si>
    <t xml:space="preserve">C465729</t>
  </si>
  <si>
    <t xml:space="preserve">UCC27524D (TI)</t>
  </si>
  <si>
    <t xml:space="preserve">TI UCC27524D</t>
  </si>
  <si>
    <t xml:space="preserve">C544760</t>
  </si>
  <si>
    <t xml:space="preserve">MX27524S (Wuxi Maxinmicro)</t>
  </si>
  <si>
    <t xml:space="preserve">Maxinmicro MX27524S (check pinout)</t>
  </si>
  <si>
    <t xml:space="preserve">C19723497</t>
  </si>
  <si>
    <t xml:space="preserve">U12</t>
  </si>
  <si>
    <t xml:space="preserve">CA-IS3742LW</t>
  </si>
  <si>
    <t xml:space="preserve">C4944981</t>
  </si>
  <si>
    <t xml:space="preserve">ISO7742FDWR (TI)</t>
  </si>
  <si>
    <t xml:space="preserve">TI ISO7742FDWR (pin-compatible, default-low)</t>
  </si>
  <si>
    <t xml:space="preserve">C2862403</t>
  </si>
  <si>
    <t xml:space="preserve">ISO7742N0-Y (YLPTEC)</t>
  </si>
  <si>
    <t xml:space="preserve">YLPTEC ISO7742N0-Y (check default output)</t>
  </si>
  <si>
    <t xml:space="preserve">C53446644</t>
  </si>
  <si>
    <t xml:space="preserve">U14</t>
  </si>
  <si>
    <t xml:space="preserve">AMS1117-5.0</t>
  </si>
  <si>
    <t xml:space="preserve">Advanced Monolithic Systems</t>
  </si>
  <si>
    <t xml:space="preserve">C6187</t>
  </si>
  <si>
    <t xml:space="preserve">AMS1117-5.0 (GOODWORK)</t>
  </si>
  <si>
    <t xml:space="preserve">GOODWORK AMS1117-5.0</t>
  </si>
  <si>
    <t xml:space="preserve">C6068482</t>
  </si>
  <si>
    <t xml:space="preserve">LD1117-5.0 (UMW)</t>
  </si>
  <si>
    <t xml:space="preserve">UMW LD1117-5.0</t>
  </si>
  <si>
    <t xml:space="preserve">C347230</t>
  </si>
  <si>
    <t xml:space="preserve">U15,U17,U18</t>
  </si>
  <si>
    <t xml:space="preserve">LMV331IDBVR</t>
  </si>
  <si>
    <t xml:space="preserve">C34731</t>
  </si>
  <si>
    <t xml:space="preserve">TPV331S5 (TECH PUBLIC)</t>
  </si>
  <si>
    <t xml:space="preserve">TECH PUBLIC TPV331S5 (check pinout)</t>
  </si>
  <si>
    <t xml:space="preserve">C7419970</t>
  </si>
  <si>
    <t xml:space="preserve">HT331VRTZ (HTCSEMI)</t>
  </si>
  <si>
    <t xml:space="preserve">HTCSEMI HT331VRTZ (check pinout)</t>
  </si>
  <si>
    <t xml:space="preserve">C2834469</t>
  </si>
  <si>
    <t xml:space="preserve">U16,U22</t>
  </si>
  <si>
    <t xml:space="preserve">TL431AIDBZR</t>
  </si>
  <si>
    <t xml:space="preserve">C23892</t>
  </si>
  <si>
    <t xml:space="preserve">TL431A-MS (MSKSEMI)</t>
  </si>
  <si>
    <t xml:space="preserve">MSKSEMI TL431A-MS (check SOT-23 pinout)</t>
  </si>
  <si>
    <t xml:space="preserve">C19272793</t>
  </si>
  <si>
    <t xml:space="preserve">TL431AIM3/TR (HGSEMI)</t>
  </si>
  <si>
    <t xml:space="preserve">HGSEMI TL431AIM3/TR (check pinout)</t>
  </si>
  <si>
    <t xml:space="preserve">C30170091</t>
  </si>
  <si>
    <t xml:space="preserve">U20</t>
  </si>
  <si>
    <t xml:space="preserve">UC3843BVD1R2G</t>
  </si>
  <si>
    <t xml:space="preserve">C231572</t>
  </si>
  <si>
    <t xml:space="preserve">UC2843BD1R2G (onsemi)</t>
  </si>
  <si>
    <t xml:space="preserve">onsemi UC2843BD1R2G</t>
  </si>
  <si>
    <t xml:space="preserve">C59197</t>
  </si>
  <si>
    <t xml:space="preserve">UC3843D8TR (TI)</t>
  </si>
  <si>
    <t xml:space="preserve">TI UC3843D8TR</t>
  </si>
  <si>
    <t xml:space="preserve">C702405</t>
  </si>
  <si>
    <t xml:space="preserve">U21</t>
  </si>
  <si>
    <t xml:space="preserve">EL357N(B)(TA)-G</t>
  </si>
  <si>
    <t xml:space="preserve">EVERLIGHT</t>
  </si>
  <si>
    <t xml:space="preserve">C42381015</t>
  </si>
  <si>
    <t xml:space="preserve">LTV-357T-B (LITEON)</t>
  </si>
  <si>
    <t xml:space="preserve">LITEON LTV-357T-B</t>
  </si>
  <si>
    <t xml:space="preserve">C33068</t>
  </si>
  <si>
    <t xml:space="preserve">OR-357B-S-TP-G (Orient)</t>
  </si>
  <si>
    <t xml:space="preserve">Orient OR-357B-S-TP-G</t>
  </si>
  <si>
    <t xml:space="preserve">C3031032</t>
  </si>
  <si>
    <t xml:space="preserve">Y1</t>
  </si>
  <si>
    <t xml:space="preserve">X322516MLB4SI</t>
  </si>
  <si>
    <t xml:space="preserve">YXC Crystal Oscillators</t>
  </si>
  <si>
    <t xml:space="preserve">C13738</t>
  </si>
  <si>
    <t xml:space="preserve">XL2LI-111-16M (YXC Crystal Oscillators)</t>
  </si>
  <si>
    <t xml:space="preserve">YXC XL2LI-111-16M (check load C)</t>
  </si>
  <si>
    <t xml:space="preserve">C18207610</t>
  </si>
  <si>
    <t xml:space="preserve">XL2EL89CLI-111YLC-16M (YXC Crystal Oscillators)</t>
  </si>
  <si>
    <t xml:space="preserve">YXC XL2EL89CLI-111YLC-16M</t>
  </si>
  <si>
    <t xml:space="preserve">C5444547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</si>
</sst>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4B6B6"/>
        <bgColor rgb="FFF9D7A8"/>
      </patternFill>
    </fill>
    <fill>
      <patternFill patternType="solid">
        <fgColor rgb="FFF9D7A8"/>
        <bgColor rgb="FFFFF2B3"/>
      </patternFill>
    </fill>
    <fill>
      <patternFill patternType="solid">
        <fgColor rgb="FFFFF2B3"/>
        <bgColor rgb="FFFFFF99"/>
      </patternFill>
    </fill>
    <fill>
      <patternFill patternType="solid">
        <fgColor rgb="FFD9EFD3"/>
        <bgColor rgb="FFCCFFFF"/>
      </patternFill>
    </fill>
    <fill>
      <patternFill patternType="solid">
        <fgColor rgb="FF2F4F6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4F6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FD3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9D7A8"/>
          <bgColor rgb="FF000000"/>
        </patternFill>
      </fill>
    </dxf>
    <dxf>
      <fill>
        <patternFill patternType="solid">
          <fgColor rgb="FFFFF2B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FD3"/>
      <rgbColor rgb="FFFFFF99"/>
      <rgbColor rgb="FF99CCFF"/>
      <rgbColor rgb="FFF4B6B6"/>
      <rgbColor rgb="FFCC99FF"/>
      <rgbColor rgb="FFF9D7A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120"/>
  </cols>
  <sheetData>
    <row r="1" customFormat="false" ht="114.9" hidden="false" customHeight="false" outlineLevel="0" collapsed="false">
      <c r="A1" s="1" t="s">
        <v>0</v>
      </c>
      <c r="B1" s="2"/>
      <c r="C1" s="2"/>
    </row>
    <row r="2" customFormat="false" ht="113.4" hidden="false" customHeight="false" outlineLevel="0" collapsed="false">
      <c r="A2" s="2" t="s">
        <v>1</v>
      </c>
      <c r="B2" s="2"/>
      <c r="C2" s="2"/>
    </row>
    <row r="3" customFormat="false" ht="135.8" hidden="false" customHeight="false" outlineLevel="0" collapsed="false">
      <c r="A3" s="2" t="s">
        <v>2</v>
      </c>
      <c r="B3" s="2"/>
      <c r="C3" s="2"/>
    </row>
    <row r="4" customFormat="false" ht="15" hidden="false" customHeight="false" outlineLevel="0" collapsed="false">
      <c r="A4" s="2"/>
      <c r="B4" s="2"/>
      <c r="C4" s="2"/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</row>
    <row r="6" customFormat="false" ht="15" hidden="false" customHeight="false" outlineLevel="0" collapsed="false">
      <c r="A6" s="4" t="s">
        <v>6</v>
      </c>
      <c r="B6" s="2" t="n">
        <f aca="false">COUNTIF(Sourcing!K:K,"CRITICAL")</f>
        <v>11</v>
      </c>
      <c r="C6" s="2" t="s">
        <v>7</v>
      </c>
    </row>
    <row r="7" customFormat="false" ht="15" hidden="false" customHeight="false" outlineLevel="0" collapsed="false">
      <c r="A7" s="5" t="s">
        <v>8</v>
      </c>
      <c r="B7" s="2" t="n">
        <f aca="false">COUNTIF(Sourcing!K:K,"HIGH")</f>
        <v>5</v>
      </c>
      <c r="C7" s="2" t="s">
        <v>9</v>
      </c>
    </row>
    <row r="8" customFormat="false" ht="15" hidden="false" customHeight="false" outlineLevel="0" collapsed="false">
      <c r="A8" s="6" t="s">
        <v>10</v>
      </c>
      <c r="B8" s="2" t="n">
        <f aca="false">COUNTIF(Sourcing!K:K,"MEDIUM")</f>
        <v>7</v>
      </c>
      <c r="C8" s="2" t="s">
        <v>11</v>
      </c>
    </row>
    <row r="9" customFormat="false" ht="15" hidden="false" customHeight="false" outlineLevel="0" collapsed="false">
      <c r="A9" s="7" t="s">
        <v>12</v>
      </c>
      <c r="B9" s="2" t="n">
        <f aca="false">COUNTIF(Sourcing!K:K,"LOW")</f>
        <v>60</v>
      </c>
      <c r="C9" s="2" t="s">
        <v>13</v>
      </c>
    </row>
    <row r="10" customFormat="false" ht="15" hidden="false" customHeight="false" outlineLevel="0" collapsed="false">
      <c r="A10" s="2"/>
      <c r="B10" s="2"/>
      <c r="C10" s="2"/>
    </row>
    <row r="11" customFormat="false" ht="68.65" hidden="false" customHeight="false" outlineLevel="0" collapsed="false">
      <c r="A11" s="3" t="s">
        <v>14</v>
      </c>
      <c r="B11" s="3"/>
      <c r="C11" s="3"/>
    </row>
    <row r="12" customFormat="false" ht="15" hidden="false" customHeight="false" outlineLevel="0" collapsed="false">
      <c r="A12" s="2" t="s">
        <v>15</v>
      </c>
      <c r="B12" s="2" t="s">
        <v>16</v>
      </c>
      <c r="C12" s="2" t="s">
        <v>17</v>
      </c>
    </row>
    <row r="13" customFormat="false" ht="35.05" hidden="false" customHeight="false" outlineLevel="0" collapsed="false">
      <c r="A13" s="2" t="s">
        <v>18</v>
      </c>
      <c r="B13" s="2" t="s">
        <v>19</v>
      </c>
      <c r="C13" s="2" t="s">
        <v>20</v>
      </c>
    </row>
    <row r="14" customFormat="false" ht="23.85" hidden="false" customHeight="false" outlineLevel="0" collapsed="false">
      <c r="A14" s="2" t="s">
        <v>21</v>
      </c>
      <c r="B14" s="2" t="s">
        <v>22</v>
      </c>
      <c r="C14" s="2" t="s">
        <v>23</v>
      </c>
    </row>
    <row r="15" customFormat="false" ht="15" hidden="false" customHeight="false" outlineLevel="0" collapsed="false">
      <c r="A15" s="2" t="s">
        <v>24</v>
      </c>
      <c r="B15" s="2" t="s">
        <v>25</v>
      </c>
      <c r="C15" s="2" t="s">
        <v>26</v>
      </c>
    </row>
    <row r="16" customFormat="false" ht="23.85" hidden="false" customHeight="false" outlineLevel="0" collapsed="false">
      <c r="A16" s="2" t="s">
        <v>27</v>
      </c>
      <c r="B16" s="2" t="s">
        <v>28</v>
      </c>
      <c r="C16" s="2" t="s">
        <v>29</v>
      </c>
    </row>
    <row r="17" customFormat="false" ht="23.85" hidden="false" customHeight="false" outlineLevel="0" collapsed="false">
      <c r="A17" s="2" t="s">
        <v>30</v>
      </c>
      <c r="B17" s="2" t="s">
        <v>31</v>
      </c>
      <c r="C17" s="2" t="s">
        <v>32</v>
      </c>
    </row>
    <row r="18" customFormat="false" ht="79.85" hidden="false" customHeight="false" outlineLevel="0" collapsed="false">
      <c r="A18" s="2" t="s">
        <v>33</v>
      </c>
      <c r="B18" s="2" t="s">
        <v>34</v>
      </c>
      <c r="C18" s="2" t="s">
        <v>35</v>
      </c>
    </row>
    <row r="19" customFormat="false" ht="15" hidden="false" customHeight="false" outlineLevel="0" collapsed="false">
      <c r="A19" s="2" t="s">
        <v>36</v>
      </c>
      <c r="B19" s="2" t="s">
        <v>37</v>
      </c>
      <c r="C19" s="2" t="s">
        <v>38</v>
      </c>
    </row>
    <row r="20" customFormat="false" ht="15" hidden="false" customHeight="false" outlineLevel="0" collapsed="false">
      <c r="A20" s="2" t="s">
        <v>39</v>
      </c>
      <c r="B20" s="2" t="s">
        <v>40</v>
      </c>
      <c r="C20" s="2" t="s">
        <v>41</v>
      </c>
    </row>
    <row r="21" customFormat="false" ht="15" hidden="false" customHeight="false" outlineLevel="0" collapsed="false">
      <c r="A21" s="2" t="s">
        <v>42</v>
      </c>
      <c r="B21" s="2" t="s">
        <v>43</v>
      </c>
      <c r="C21" s="2" t="s">
        <v>44</v>
      </c>
    </row>
    <row r="22" customFormat="false" ht="23.85" hidden="false" customHeight="false" outlineLevel="0" collapsed="false">
      <c r="A22" s="2" t="s">
        <v>45</v>
      </c>
      <c r="B22" s="2" t="s">
        <v>46</v>
      </c>
      <c r="C22" s="2" t="s">
        <v>47</v>
      </c>
    </row>
    <row r="23" customFormat="false" ht="15" hidden="false" customHeight="false" outlineLevel="0" collapsed="false">
      <c r="A23" s="2"/>
      <c r="B23" s="2"/>
      <c r="C23" s="2"/>
    </row>
    <row r="24" customFormat="false" ht="23.85" hidden="false" customHeight="false" outlineLevel="0" collapsed="false">
      <c r="A24" s="2" t="s">
        <v>48</v>
      </c>
      <c r="B24" s="2"/>
      <c r="C24" s="2"/>
    </row>
    <row r="25" customFormat="false" ht="23.85" hidden="false" customHeight="false" outlineLevel="0" collapsed="false">
      <c r="A25" s="2" t="s">
        <v>49</v>
      </c>
      <c r="B25" s="2" t="s">
        <v>50</v>
      </c>
      <c r="C25" s="2" t="s">
        <v>51</v>
      </c>
    </row>
    <row r="26" customFormat="false" ht="15" hidden="false" customHeight="false" outlineLevel="0" collapsed="false">
      <c r="A26" s="2" t="s">
        <v>52</v>
      </c>
      <c r="B26" s="2" t="s">
        <v>53</v>
      </c>
      <c r="C26" s="2" t="s">
        <v>54</v>
      </c>
    </row>
    <row r="27" customFormat="false" ht="15" hidden="false" customHeight="false" outlineLevel="0" collapsed="false">
      <c r="A27" s="2" t="s">
        <v>55</v>
      </c>
      <c r="B27" s="2" t="s">
        <v>56</v>
      </c>
      <c r="C27" s="2" t="s">
        <v>57</v>
      </c>
    </row>
    <row r="28" customFormat="false" ht="23.85" hidden="false" customHeight="false" outlineLevel="0" collapsed="false">
      <c r="A28" s="2" t="s">
        <v>58</v>
      </c>
      <c r="B28" s="2" t="s">
        <v>59</v>
      </c>
      <c r="C28" s="2" t="s">
        <v>60</v>
      </c>
    </row>
    <row r="29" customFormat="false" ht="23.85" hidden="false" customHeight="false" outlineLevel="0" collapsed="false">
      <c r="A29" s="2" t="s">
        <v>61</v>
      </c>
      <c r="B29" s="2" t="s">
        <v>62</v>
      </c>
      <c r="C29" s="2" t="s">
        <v>63</v>
      </c>
    </row>
    <row r="30" customFormat="false" ht="15" hidden="false" customHeight="false" outlineLevel="0" collapsed="false">
      <c r="A30" s="2"/>
      <c r="B30" s="2"/>
      <c r="C30" s="2"/>
    </row>
    <row r="31" customFormat="false" ht="180.55" hidden="false" customHeight="false" outlineLevel="0" collapsed="false">
      <c r="A31" s="2" t="s">
        <v>64</v>
      </c>
      <c r="B31" s="2"/>
      <c r="C3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60"/>
    <col collapsed="false" customWidth="true" hidden="false" outlineLevel="0" max="13" min="13" style="0" width="26"/>
    <col collapsed="false" customWidth="true" hidden="false" outlineLevel="0" max="14" min="14" style="0" width="30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7" min="17" style="0" width="26"/>
    <col collapsed="false" customWidth="true" hidden="false" outlineLevel="0" max="18" min="18" style="0" width="30"/>
    <col collapsed="false" customWidth="true" hidden="false" outlineLevel="0" max="19" min="19" style="0" width="11"/>
    <col collapsed="false" customWidth="true" hidden="false" outlineLevel="0" max="20" min="20" style="0" width="10"/>
    <col collapsed="false" customWidth="true" hidden="false" outlineLevel="0" max="21" min="21" style="0" width="11"/>
  </cols>
  <sheetData>
    <row r="1" customFormat="false" ht="42" hidden="false" customHeight="true" outlineLevel="0" collapsed="false">
      <c r="A1" s="8" t="s">
        <v>65</v>
      </c>
      <c r="B1" s="8" t="s">
        <v>66</v>
      </c>
      <c r="C1" s="8" t="s">
        <v>67</v>
      </c>
      <c r="D1" s="8" t="s">
        <v>68</v>
      </c>
      <c r="E1" s="8" t="s">
        <v>69</v>
      </c>
      <c r="F1" s="8" t="s">
        <v>70</v>
      </c>
      <c r="G1" s="8" t="s">
        <v>71</v>
      </c>
      <c r="H1" s="8" t="s">
        <v>72</v>
      </c>
      <c r="I1" s="8" t="s">
        <v>73</v>
      </c>
      <c r="J1" s="8" t="s">
        <v>74</v>
      </c>
      <c r="K1" s="8" t="s">
        <v>3</v>
      </c>
      <c r="L1" s="8" t="s">
        <v>75</v>
      </c>
      <c r="M1" s="8" t="s">
        <v>76</v>
      </c>
      <c r="N1" s="8" t="s">
        <v>77</v>
      </c>
      <c r="O1" s="8" t="s">
        <v>78</v>
      </c>
      <c r="P1" s="8" t="s">
        <v>79</v>
      </c>
      <c r="Q1" s="8" t="s">
        <v>80</v>
      </c>
      <c r="R1" s="8" t="s">
        <v>81</v>
      </c>
      <c r="S1" s="8" t="s">
        <v>82</v>
      </c>
      <c r="T1" s="8" t="s">
        <v>83</v>
      </c>
      <c r="U1" s="8" t="s">
        <v>84</v>
      </c>
    </row>
    <row r="2" customFormat="false" ht="22.35" hidden="false" customHeight="false" outlineLevel="0" collapsed="false">
      <c r="A2" s="9" t="n">
        <v>9</v>
      </c>
      <c r="B2" s="10" t="s">
        <v>16</v>
      </c>
      <c r="C2" s="9" t="n">
        <v>4</v>
      </c>
      <c r="D2" s="10" t="s">
        <v>85</v>
      </c>
      <c r="E2" s="9" t="s">
        <v>86</v>
      </c>
      <c r="F2" s="9" t="s">
        <v>87</v>
      </c>
      <c r="G2" s="9" t="s">
        <v>15</v>
      </c>
      <c r="H2" s="11" t="n">
        <v>0</v>
      </c>
      <c r="I2" s="11" t="n">
        <f aca="false">IF(ISNUMBER(H2),INT(H2/C2),0)</f>
        <v>0</v>
      </c>
      <c r="J2" s="12" t="n">
        <v>0.0035</v>
      </c>
      <c r="K2" s="13" t="s">
        <v>6</v>
      </c>
      <c r="L2" s="10" t="s">
        <v>17</v>
      </c>
      <c r="M2" s="9" t="s">
        <v>88</v>
      </c>
      <c r="N2" s="10" t="s">
        <v>89</v>
      </c>
      <c r="O2" s="9" t="s">
        <v>90</v>
      </c>
      <c r="P2" s="11" t="n">
        <v>179400</v>
      </c>
      <c r="Q2" s="9" t="s">
        <v>91</v>
      </c>
      <c r="R2" s="10" t="s">
        <v>92</v>
      </c>
      <c r="S2" s="9" t="s">
        <v>93</v>
      </c>
      <c r="T2" s="11" t="n">
        <v>32180</v>
      </c>
      <c r="U2" s="9" t="n">
        <f aca="false">IF(ISNUMBER(H2),IF(H2&gt;=100*C2,1,0),0)+IF(ISNUMBER(P2),IF(P2&gt;=100*C2,1,0),0)+IF(ISNUMBER(T2),IF(T2&gt;=100*C2,1,0),0)</f>
        <v>2</v>
      </c>
    </row>
    <row r="3" customFormat="false" ht="43.25" hidden="false" customHeight="false" outlineLevel="0" collapsed="false">
      <c r="A3" s="9" t="n">
        <v>10</v>
      </c>
      <c r="B3" s="10" t="s">
        <v>19</v>
      </c>
      <c r="C3" s="9" t="n">
        <v>22</v>
      </c>
      <c r="D3" s="10" t="s">
        <v>94</v>
      </c>
      <c r="E3" s="9" t="s">
        <v>95</v>
      </c>
      <c r="F3" s="9" t="s">
        <v>87</v>
      </c>
      <c r="G3" s="9" t="s">
        <v>18</v>
      </c>
      <c r="H3" s="11" t="n">
        <v>0</v>
      </c>
      <c r="I3" s="11" t="n">
        <f aca="false">IF(ISNUMBER(H3),INT(H3/C3),0)</f>
        <v>0</v>
      </c>
      <c r="J3" s="12" t="n">
        <v>0.0029</v>
      </c>
      <c r="K3" s="13" t="s">
        <v>6</v>
      </c>
      <c r="L3" s="10" t="s">
        <v>20</v>
      </c>
      <c r="M3" s="9" t="s">
        <v>96</v>
      </c>
      <c r="N3" s="10" t="s">
        <v>97</v>
      </c>
      <c r="O3" s="9" t="s">
        <v>98</v>
      </c>
      <c r="P3" s="11" t="n">
        <v>2343800</v>
      </c>
      <c r="Q3" s="9" t="s">
        <v>99</v>
      </c>
      <c r="R3" s="10" t="s">
        <v>100</v>
      </c>
      <c r="S3" s="9" t="s">
        <v>101</v>
      </c>
      <c r="T3" s="11" t="n">
        <v>953300</v>
      </c>
      <c r="U3" s="9" t="n">
        <f aca="false">IF(ISNUMBER(H3),IF(H3&gt;=100*C3,1,0),0)+IF(ISNUMBER(P3),IF(P3&gt;=100*C3,1,0),0)+IF(ISNUMBER(T3),IF(T3&gt;=100*C3,1,0),0)</f>
        <v>2</v>
      </c>
    </row>
    <row r="4" customFormat="false" ht="32.8" hidden="false" customHeight="false" outlineLevel="0" collapsed="false">
      <c r="A4" s="9" t="n">
        <v>18</v>
      </c>
      <c r="B4" s="10" t="s">
        <v>22</v>
      </c>
      <c r="C4" s="9" t="n">
        <v>1</v>
      </c>
      <c r="D4" s="10" t="s">
        <v>102</v>
      </c>
      <c r="E4" s="9" t="s">
        <v>103</v>
      </c>
      <c r="F4" s="9" t="s">
        <v>87</v>
      </c>
      <c r="G4" s="9" t="s">
        <v>21</v>
      </c>
      <c r="H4" s="11" t="n">
        <v>23600</v>
      </c>
      <c r="I4" s="11" t="n">
        <f aca="false">IF(ISNUMBER(H4),INT(H4/C4),0)</f>
        <v>23600</v>
      </c>
      <c r="J4" s="12" t="n">
        <v>0.0087</v>
      </c>
      <c r="K4" s="13" t="s">
        <v>6</v>
      </c>
      <c r="L4" s="10" t="s">
        <v>23</v>
      </c>
      <c r="M4" s="9" t="s">
        <v>104</v>
      </c>
      <c r="N4" s="10" t="s">
        <v>105</v>
      </c>
      <c r="O4" s="9" t="s">
        <v>106</v>
      </c>
      <c r="P4" s="11" t="n">
        <v>2403</v>
      </c>
      <c r="Q4" s="9" t="s">
        <v>107</v>
      </c>
      <c r="R4" s="10" t="s">
        <v>108</v>
      </c>
      <c r="S4" s="9" t="s">
        <v>109</v>
      </c>
      <c r="T4" s="11" t="n">
        <v>830</v>
      </c>
      <c r="U4" s="9" t="n">
        <f aca="false">IF(ISNUMBER(H4),IF(H4&gt;=100*C4,1,0),0)+IF(ISNUMBER(P4),IF(P4&gt;=100*C4,1,0),0)+IF(ISNUMBER(T4),IF(T4&gt;=100*C4,1,0),0)</f>
        <v>3</v>
      </c>
    </row>
    <row r="5" customFormat="false" ht="22.35" hidden="false" customHeight="false" outlineLevel="0" collapsed="false">
      <c r="A5" s="9" t="n">
        <v>28</v>
      </c>
      <c r="B5" s="10" t="s">
        <v>25</v>
      </c>
      <c r="C5" s="9" t="n">
        <v>1</v>
      </c>
      <c r="D5" s="10" t="s">
        <v>110</v>
      </c>
      <c r="E5" s="9" t="s">
        <v>111</v>
      </c>
      <c r="F5" s="9" t="s">
        <v>112</v>
      </c>
      <c r="G5" s="9" t="s">
        <v>24</v>
      </c>
      <c r="H5" s="11" t="s">
        <v>113</v>
      </c>
      <c r="I5" s="11" t="n">
        <f aca="false">IF(ISNUMBER(H5),INT(H5/C5),0)</f>
        <v>0</v>
      </c>
      <c r="J5" s="12"/>
      <c r="K5" s="13" t="s">
        <v>6</v>
      </c>
      <c r="L5" s="10" t="s">
        <v>26</v>
      </c>
      <c r="M5" s="9" t="s">
        <v>114</v>
      </c>
      <c r="N5" s="10" t="s">
        <v>115</v>
      </c>
      <c r="O5" s="9" t="s">
        <v>116</v>
      </c>
      <c r="P5" s="11" t="n">
        <v>806800</v>
      </c>
      <c r="Q5" s="9" t="s">
        <v>117</v>
      </c>
      <c r="R5" s="10" t="s">
        <v>118</v>
      </c>
      <c r="S5" s="9" t="s">
        <v>119</v>
      </c>
      <c r="T5" s="11" t="n">
        <v>1960</v>
      </c>
      <c r="U5" s="9" t="n">
        <f aca="false">IF(ISNUMBER(H5),IF(H5&gt;=100*C5,1,0),0)+IF(ISNUMBER(P5),IF(P5&gt;=100*C5,1,0),0)+IF(ISNUMBER(T5),IF(T5&gt;=100*C5,1,0),0)</f>
        <v>2</v>
      </c>
    </row>
    <row r="6" customFormat="false" ht="32.8" hidden="false" customHeight="false" outlineLevel="0" collapsed="false">
      <c r="A6" s="9" t="n">
        <v>30</v>
      </c>
      <c r="B6" s="10" t="s">
        <v>28</v>
      </c>
      <c r="C6" s="9" t="n">
        <v>2</v>
      </c>
      <c r="D6" s="10" t="s">
        <v>120</v>
      </c>
      <c r="E6" s="9" t="s">
        <v>120</v>
      </c>
      <c r="F6" s="9" t="s">
        <v>112</v>
      </c>
      <c r="G6" s="9" t="s">
        <v>27</v>
      </c>
      <c r="H6" s="11" t="s">
        <v>113</v>
      </c>
      <c r="I6" s="11" t="n">
        <f aca="false">IF(ISNUMBER(H6),INT(H6/C6),0)</f>
        <v>0</v>
      </c>
      <c r="J6" s="12"/>
      <c r="K6" s="13" t="s">
        <v>6</v>
      </c>
      <c r="L6" s="10" t="s">
        <v>29</v>
      </c>
      <c r="M6" s="9" t="s">
        <v>121</v>
      </c>
      <c r="N6" s="10" t="s">
        <v>122</v>
      </c>
      <c r="O6" s="9" t="s">
        <v>123</v>
      </c>
      <c r="P6" s="11" t="n">
        <v>7940</v>
      </c>
      <c r="Q6" s="9" t="s">
        <v>124</v>
      </c>
      <c r="R6" s="10" t="s">
        <v>125</v>
      </c>
      <c r="S6" s="9" t="s">
        <v>126</v>
      </c>
      <c r="T6" s="11" t="n">
        <v>2340</v>
      </c>
      <c r="U6" s="9" t="n">
        <f aca="false">IF(ISNUMBER(H6),IF(H6&gt;=100*C6,1,0),0)+IF(ISNUMBER(P6),IF(P6&gt;=100*C6,1,0),0)+IF(ISNUMBER(T6),IF(T6&gt;=100*C6,1,0),0)</f>
        <v>2</v>
      </c>
    </row>
    <row r="7" customFormat="false" ht="32.8" hidden="false" customHeight="false" outlineLevel="0" collapsed="false">
      <c r="A7" s="9" t="n">
        <v>32</v>
      </c>
      <c r="B7" s="10" t="s">
        <v>31</v>
      </c>
      <c r="C7" s="9" t="n">
        <v>4</v>
      </c>
      <c r="D7" s="10" t="s">
        <v>127</v>
      </c>
      <c r="E7" s="9" t="s">
        <v>127</v>
      </c>
      <c r="F7" s="9" t="s">
        <v>128</v>
      </c>
      <c r="G7" s="9" t="s">
        <v>30</v>
      </c>
      <c r="H7" s="11" t="n">
        <v>38</v>
      </c>
      <c r="I7" s="11" t="n">
        <f aca="false">IF(ISNUMBER(H7),INT(H7/C7),0)</f>
        <v>9</v>
      </c>
      <c r="J7" s="12" t="n">
        <v>0.6159</v>
      </c>
      <c r="K7" s="13" t="s">
        <v>6</v>
      </c>
      <c r="L7" s="10" t="s">
        <v>32</v>
      </c>
      <c r="M7" s="9" t="s">
        <v>129</v>
      </c>
      <c r="N7" s="10" t="s">
        <v>130</v>
      </c>
      <c r="O7" s="9" t="s">
        <v>131</v>
      </c>
      <c r="P7" s="11" t="n">
        <v>7577</v>
      </c>
      <c r="Q7" s="9" t="s">
        <v>132</v>
      </c>
      <c r="R7" s="10" t="s">
        <v>133</v>
      </c>
      <c r="S7" s="9" t="s">
        <v>134</v>
      </c>
      <c r="T7" s="11" t="n">
        <v>645</v>
      </c>
      <c r="U7" s="9" t="n">
        <f aca="false">IF(ISNUMBER(H7),IF(H7&gt;=100*C7,1,0),0)+IF(ISNUMBER(P7),IF(P7&gt;=100*C7,1,0),0)+IF(ISNUMBER(T7),IF(T7&gt;=100*C7,1,0),0)</f>
        <v>2</v>
      </c>
    </row>
    <row r="8" customFormat="false" ht="95.5" hidden="false" customHeight="false" outlineLevel="0" collapsed="false">
      <c r="A8" s="9" t="n">
        <v>39</v>
      </c>
      <c r="B8" s="10" t="s">
        <v>34</v>
      </c>
      <c r="C8" s="9" t="n">
        <v>51</v>
      </c>
      <c r="D8" s="10" t="s">
        <v>135</v>
      </c>
      <c r="E8" s="9" t="s">
        <v>136</v>
      </c>
      <c r="F8" s="9" t="s">
        <v>137</v>
      </c>
      <c r="G8" s="9" t="s">
        <v>33</v>
      </c>
      <c r="H8" s="11" t="n">
        <v>0</v>
      </c>
      <c r="I8" s="11" t="n">
        <f aca="false">IF(ISNUMBER(H8),INT(H8/C8),0)</f>
        <v>0</v>
      </c>
      <c r="J8" s="12" t="n">
        <v>0.0009</v>
      </c>
      <c r="K8" s="13" t="s">
        <v>6</v>
      </c>
      <c r="L8" s="10" t="s">
        <v>35</v>
      </c>
      <c r="M8" s="9" t="s">
        <v>138</v>
      </c>
      <c r="N8" s="10" t="s">
        <v>139</v>
      </c>
      <c r="O8" s="9" t="s">
        <v>140</v>
      </c>
      <c r="P8" s="11" t="n">
        <v>14247200</v>
      </c>
      <c r="Q8" s="9" t="s">
        <v>141</v>
      </c>
      <c r="R8" s="10" t="s">
        <v>142</v>
      </c>
      <c r="S8" s="9" t="s">
        <v>143</v>
      </c>
      <c r="T8" s="11" t="n">
        <v>431300</v>
      </c>
      <c r="U8" s="9" t="n">
        <f aca="false">IF(ISNUMBER(H8),IF(H8&gt;=100*C8,1,0),0)+IF(ISNUMBER(P8),IF(P8&gt;=100*C8,1,0),0)+IF(ISNUMBER(T8),IF(T8&gt;=100*C8,1,0),0)</f>
        <v>2</v>
      </c>
    </row>
    <row r="9" customFormat="false" ht="22.35" hidden="false" customHeight="false" outlineLevel="0" collapsed="false">
      <c r="A9" s="9" t="n">
        <v>48</v>
      </c>
      <c r="B9" s="10" t="s">
        <v>37</v>
      </c>
      <c r="C9" s="9" t="n">
        <v>2</v>
      </c>
      <c r="D9" s="10" t="s">
        <v>144</v>
      </c>
      <c r="E9" s="9" t="s">
        <v>145</v>
      </c>
      <c r="F9" s="9" t="s">
        <v>137</v>
      </c>
      <c r="G9" s="9" t="s">
        <v>36</v>
      </c>
      <c r="H9" s="11" t="n">
        <v>0</v>
      </c>
      <c r="I9" s="11" t="n">
        <f aca="false">IF(ISNUMBER(H9),INT(H9/C9),0)</f>
        <v>0</v>
      </c>
      <c r="J9" s="12" t="n">
        <v>0.0017</v>
      </c>
      <c r="K9" s="13" t="s">
        <v>6</v>
      </c>
      <c r="L9" s="10" t="s">
        <v>38</v>
      </c>
      <c r="M9" s="9" t="s">
        <v>146</v>
      </c>
      <c r="N9" s="10" t="s">
        <v>147</v>
      </c>
      <c r="O9" s="9" t="s">
        <v>148</v>
      </c>
      <c r="P9" s="11" t="n">
        <v>3848600</v>
      </c>
      <c r="Q9" s="9" t="s">
        <v>149</v>
      </c>
      <c r="R9" s="10" t="s">
        <v>150</v>
      </c>
      <c r="S9" s="9" t="s">
        <v>151</v>
      </c>
      <c r="T9" s="11" t="n">
        <v>445600</v>
      </c>
      <c r="U9" s="9" t="n">
        <f aca="false">IF(ISNUMBER(H9),IF(H9&gt;=100*C9,1,0),0)+IF(ISNUMBER(P9),IF(P9&gt;=100*C9,1,0),0)+IF(ISNUMBER(T9),IF(T9&gt;=100*C9,1,0),0)</f>
        <v>2</v>
      </c>
    </row>
    <row r="10" customFormat="false" ht="22.35" hidden="false" customHeight="false" outlineLevel="0" collapsed="false">
      <c r="A10" s="9" t="n">
        <v>53</v>
      </c>
      <c r="B10" s="10" t="s">
        <v>40</v>
      </c>
      <c r="C10" s="9" t="n">
        <v>1</v>
      </c>
      <c r="D10" s="10" t="s">
        <v>152</v>
      </c>
      <c r="E10" s="9" t="s">
        <v>153</v>
      </c>
      <c r="F10" s="9" t="s">
        <v>154</v>
      </c>
      <c r="G10" s="9" t="s">
        <v>39</v>
      </c>
      <c r="H10" s="11" t="n">
        <v>0</v>
      </c>
      <c r="I10" s="11" t="n">
        <f aca="false">IF(ISNUMBER(H10),INT(H10/C10),0)</f>
        <v>0</v>
      </c>
      <c r="J10" s="12" t="n">
        <v>0.0168</v>
      </c>
      <c r="K10" s="13" t="s">
        <v>6</v>
      </c>
      <c r="L10" s="10" t="s">
        <v>41</v>
      </c>
      <c r="M10" s="9" t="s">
        <v>155</v>
      </c>
      <c r="N10" s="10" t="s">
        <v>156</v>
      </c>
      <c r="O10" s="9" t="s">
        <v>157</v>
      </c>
      <c r="P10" s="11" t="n">
        <v>55710</v>
      </c>
      <c r="Q10" s="9" t="s">
        <v>158</v>
      </c>
      <c r="R10" s="10" t="s">
        <v>159</v>
      </c>
      <c r="S10" s="9" t="s">
        <v>160</v>
      </c>
      <c r="T10" s="11" t="n">
        <v>7510</v>
      </c>
      <c r="U10" s="9" t="n">
        <f aca="false">IF(ISNUMBER(H10),IF(H10&gt;=100*C10,1,0),0)+IF(ISNUMBER(P10),IF(P10&gt;=100*C10,1,0),0)+IF(ISNUMBER(T10),IF(T10&gt;=100*C10,1,0),0)</f>
        <v>2</v>
      </c>
    </row>
    <row r="11" customFormat="false" ht="22.35" hidden="false" customHeight="false" outlineLevel="0" collapsed="false">
      <c r="A11" s="9" t="n">
        <v>55</v>
      </c>
      <c r="B11" s="10" t="s">
        <v>43</v>
      </c>
      <c r="C11" s="9" t="n">
        <v>1</v>
      </c>
      <c r="D11" s="10" t="s">
        <v>161</v>
      </c>
      <c r="E11" s="9" t="s">
        <v>162</v>
      </c>
      <c r="F11" s="9" t="s">
        <v>137</v>
      </c>
      <c r="G11" s="9" t="s">
        <v>42</v>
      </c>
      <c r="H11" s="11" t="n">
        <v>0</v>
      </c>
      <c r="I11" s="11" t="n">
        <f aca="false">IF(ISNUMBER(H11),INT(H11/C11),0)</f>
        <v>0</v>
      </c>
      <c r="J11" s="12" t="n">
        <v>0.0008</v>
      </c>
      <c r="K11" s="13" t="s">
        <v>6</v>
      </c>
      <c r="L11" s="10" t="s">
        <v>44</v>
      </c>
      <c r="M11" s="9" t="s">
        <v>163</v>
      </c>
      <c r="N11" s="10" t="s">
        <v>164</v>
      </c>
      <c r="O11" s="9" t="s">
        <v>165</v>
      </c>
      <c r="P11" s="11" t="n">
        <v>4263000</v>
      </c>
      <c r="Q11" s="9" t="s">
        <v>166</v>
      </c>
      <c r="R11" s="10" t="s">
        <v>167</v>
      </c>
      <c r="S11" s="9" t="s">
        <v>168</v>
      </c>
      <c r="T11" s="11" t="n">
        <v>2478600</v>
      </c>
      <c r="U11" s="9" t="n">
        <f aca="false">IF(ISNUMBER(H11),IF(H11&gt;=100*C11,1,0),0)+IF(ISNUMBER(P11),IF(P11&gt;=100*C11,1,0),0)+IF(ISNUMBER(T11),IF(T11&gt;=100*C11,1,0),0)</f>
        <v>2</v>
      </c>
    </row>
    <row r="12" customFormat="false" ht="22.35" hidden="false" customHeight="false" outlineLevel="0" collapsed="false">
      <c r="A12" s="9" t="n">
        <v>83</v>
      </c>
      <c r="B12" s="10" t="s">
        <v>46</v>
      </c>
      <c r="C12" s="9" t="n">
        <v>1</v>
      </c>
      <c r="D12" s="10" t="s">
        <v>169</v>
      </c>
      <c r="E12" s="9" t="s">
        <v>169</v>
      </c>
      <c r="F12" s="9" t="s">
        <v>170</v>
      </c>
      <c r="G12" s="9" t="s">
        <v>45</v>
      </c>
      <c r="H12" s="11" t="n">
        <v>0</v>
      </c>
      <c r="I12" s="11" t="n">
        <f aca="false">IF(ISNUMBER(H12),INT(H12/C12),0)</f>
        <v>0</v>
      </c>
      <c r="J12" s="12" t="n">
        <v>7.2378</v>
      </c>
      <c r="K12" s="13" t="s">
        <v>6</v>
      </c>
      <c r="L12" s="10" t="s">
        <v>47</v>
      </c>
      <c r="M12" s="9" t="s">
        <v>171</v>
      </c>
      <c r="N12" s="10" t="s">
        <v>172</v>
      </c>
      <c r="O12" s="9" t="s">
        <v>173</v>
      </c>
      <c r="P12" s="11" t="n">
        <v>564</v>
      </c>
      <c r="Q12" s="9" t="s">
        <v>174</v>
      </c>
      <c r="R12" s="10" t="s">
        <v>175</v>
      </c>
      <c r="S12" s="9" t="s">
        <v>176</v>
      </c>
      <c r="T12" s="11" t="n">
        <v>12</v>
      </c>
      <c r="U12" s="9" t="n">
        <f aca="false">IF(ISNUMBER(H12),IF(H12&gt;=100*C12,1,0),0)+IF(ISNUMBER(P12),IF(P12&gt;=100*C12,1,0),0)+IF(ISNUMBER(T12),IF(T12&gt;=100*C12,1,0),0)</f>
        <v>1</v>
      </c>
    </row>
    <row r="13" customFormat="false" ht="32.8" hidden="false" customHeight="false" outlineLevel="0" collapsed="false">
      <c r="A13" s="9" t="n">
        <v>1</v>
      </c>
      <c r="B13" s="10" t="s">
        <v>50</v>
      </c>
      <c r="C13" s="9" t="n">
        <v>3</v>
      </c>
      <c r="D13" s="10" t="s">
        <v>177</v>
      </c>
      <c r="E13" s="9" t="s">
        <v>178</v>
      </c>
      <c r="F13" s="9" t="s">
        <v>179</v>
      </c>
      <c r="G13" s="9" t="s">
        <v>49</v>
      </c>
      <c r="H13" s="11" t="n">
        <v>175</v>
      </c>
      <c r="I13" s="11" t="n">
        <f aca="false">IF(ISNUMBER(H13),INT(H13/C13),0)</f>
        <v>58</v>
      </c>
      <c r="J13" s="12" t="n">
        <v>0.0875</v>
      </c>
      <c r="K13" s="14" t="s">
        <v>8</v>
      </c>
      <c r="L13" s="10" t="s">
        <v>51</v>
      </c>
      <c r="M13" s="9" t="s">
        <v>180</v>
      </c>
      <c r="N13" s="10" t="s">
        <v>181</v>
      </c>
      <c r="O13" s="9" t="s">
        <v>182</v>
      </c>
      <c r="P13" s="11" t="n">
        <v>350</v>
      </c>
      <c r="Q13" s="9" t="s">
        <v>183</v>
      </c>
      <c r="R13" s="10" t="s">
        <v>184</v>
      </c>
      <c r="S13" s="9" t="s">
        <v>185</v>
      </c>
      <c r="T13" s="11" t="n">
        <v>24990</v>
      </c>
      <c r="U13" s="9" t="n">
        <f aca="false">IF(ISNUMBER(H13),IF(H13&gt;=100*C13,1,0),0)+IF(ISNUMBER(P13),IF(P13&gt;=100*C13,1,0),0)+IF(ISNUMBER(T13),IF(T13&gt;=100*C13,1,0),0)</f>
        <v>2</v>
      </c>
    </row>
    <row r="14" customFormat="false" ht="22.35" hidden="false" customHeight="false" outlineLevel="0" collapsed="false">
      <c r="A14" s="9" t="n">
        <v>29</v>
      </c>
      <c r="B14" s="10" t="s">
        <v>53</v>
      </c>
      <c r="C14" s="9" t="n">
        <v>1</v>
      </c>
      <c r="D14" s="10" t="s">
        <v>186</v>
      </c>
      <c r="E14" s="9" t="s">
        <v>186</v>
      </c>
      <c r="F14" s="9" t="s">
        <v>187</v>
      </c>
      <c r="G14" s="9" t="s">
        <v>52</v>
      </c>
      <c r="H14" s="11" t="n">
        <v>120</v>
      </c>
      <c r="I14" s="11" t="n">
        <f aca="false">IF(ISNUMBER(H14),INT(H14/C14),0)</f>
        <v>120</v>
      </c>
      <c r="J14" s="12" t="n">
        <v>0.8544</v>
      </c>
      <c r="K14" s="14" t="s">
        <v>8</v>
      </c>
      <c r="L14" s="10" t="s">
        <v>54</v>
      </c>
      <c r="M14" s="9" t="s">
        <v>188</v>
      </c>
      <c r="N14" s="10" t="s">
        <v>189</v>
      </c>
      <c r="O14" s="9" t="s">
        <v>190</v>
      </c>
      <c r="P14" s="11" t="n">
        <v>150</v>
      </c>
      <c r="Q14" s="9" t="s">
        <v>191</v>
      </c>
      <c r="R14" s="10" t="s">
        <v>192</v>
      </c>
      <c r="S14" s="9" t="s">
        <v>193</v>
      </c>
      <c r="T14" s="11" t="n">
        <v>496</v>
      </c>
      <c r="U14" s="9" t="n">
        <f aca="false">IF(ISNUMBER(H14),IF(H14&gt;=100*C14,1,0),0)+IF(ISNUMBER(P14),IF(P14&gt;=100*C14,1,0),0)+IF(ISNUMBER(T14),IF(T14&gt;=100*C14,1,0),0)</f>
        <v>3</v>
      </c>
    </row>
    <row r="15" customFormat="false" ht="32.8" hidden="false" customHeight="false" outlineLevel="0" collapsed="false">
      <c r="A15" s="9" t="n">
        <v>64</v>
      </c>
      <c r="B15" s="10" t="s">
        <v>56</v>
      </c>
      <c r="C15" s="9" t="n">
        <v>1</v>
      </c>
      <c r="D15" s="10" t="s">
        <v>194</v>
      </c>
      <c r="E15" s="9" t="s">
        <v>195</v>
      </c>
      <c r="F15" s="9" t="s">
        <v>196</v>
      </c>
      <c r="G15" s="9" t="s">
        <v>55</v>
      </c>
      <c r="H15" s="11" t="n">
        <v>3680</v>
      </c>
      <c r="I15" s="11" t="n">
        <f aca="false">IF(ISNUMBER(H15),INT(H15/C15),0)</f>
        <v>3680</v>
      </c>
      <c r="J15" s="12" t="n">
        <v>0.0541</v>
      </c>
      <c r="K15" s="14" t="s">
        <v>8</v>
      </c>
      <c r="L15" s="10" t="s">
        <v>57</v>
      </c>
      <c r="M15" s="9" t="s">
        <v>197</v>
      </c>
      <c r="N15" s="10" t="s">
        <v>198</v>
      </c>
      <c r="O15" s="9" t="s">
        <v>199</v>
      </c>
      <c r="P15" s="11" t="n">
        <v>21240</v>
      </c>
      <c r="Q15" s="9" t="s">
        <v>200</v>
      </c>
      <c r="R15" s="10" t="s">
        <v>201</v>
      </c>
      <c r="S15" s="9" t="s">
        <v>202</v>
      </c>
      <c r="T15" s="11" t="n">
        <v>3915</v>
      </c>
      <c r="U15" s="9" t="n">
        <f aca="false">IF(ISNUMBER(H15),IF(H15&gt;=100*C15,1,0),0)+IF(ISNUMBER(P15),IF(P15&gt;=100*C15,1,0),0)+IF(ISNUMBER(T15),IF(T15&gt;=100*C15,1,0),0)</f>
        <v>3</v>
      </c>
    </row>
    <row r="16" customFormat="false" ht="32.8" hidden="false" customHeight="false" outlineLevel="0" collapsed="false">
      <c r="A16" s="9" t="n">
        <v>67</v>
      </c>
      <c r="B16" s="10" t="s">
        <v>59</v>
      </c>
      <c r="C16" s="9" t="n">
        <v>1</v>
      </c>
      <c r="D16" s="10" t="s">
        <v>203</v>
      </c>
      <c r="E16" s="9" t="s">
        <v>203</v>
      </c>
      <c r="F16" s="9" t="s">
        <v>204</v>
      </c>
      <c r="G16" s="9" t="s">
        <v>58</v>
      </c>
      <c r="H16" s="11" t="n">
        <v>102</v>
      </c>
      <c r="I16" s="11" t="n">
        <f aca="false">IF(ISNUMBER(H16),INT(H16/C16),0)</f>
        <v>102</v>
      </c>
      <c r="J16" s="12" t="n">
        <v>1.2828</v>
      </c>
      <c r="K16" s="14" t="s">
        <v>8</v>
      </c>
      <c r="L16" s="10" t="s">
        <v>60</v>
      </c>
      <c r="M16" s="9" t="s">
        <v>205</v>
      </c>
      <c r="N16" s="10" t="s">
        <v>206</v>
      </c>
      <c r="O16" s="9" t="s">
        <v>207</v>
      </c>
      <c r="P16" s="11" t="n">
        <v>520</v>
      </c>
      <c r="Q16" s="9"/>
      <c r="R16" s="10" t="s">
        <v>208</v>
      </c>
      <c r="S16" s="9"/>
      <c r="T16" s="11"/>
      <c r="U16" s="9" t="n">
        <f aca="false">IF(ISNUMBER(H16),IF(H16&gt;=100*C16,1,0),0)+IF(ISNUMBER(P16),IF(P16&gt;=100*C16,1,0),0)+IF(ISNUMBER(T16),IF(T16&gt;=100*C16,1,0),0)</f>
        <v>2</v>
      </c>
    </row>
    <row r="17" customFormat="false" ht="32.8" hidden="false" customHeight="false" outlineLevel="0" collapsed="false">
      <c r="A17" s="9" t="n">
        <v>69</v>
      </c>
      <c r="B17" s="10" t="s">
        <v>62</v>
      </c>
      <c r="C17" s="9" t="n">
        <v>3</v>
      </c>
      <c r="D17" s="10" t="s">
        <v>209</v>
      </c>
      <c r="E17" s="9" t="s">
        <v>209</v>
      </c>
      <c r="F17" s="9" t="s">
        <v>210</v>
      </c>
      <c r="G17" s="9" t="s">
        <v>61</v>
      </c>
      <c r="H17" s="11" t="n">
        <v>338</v>
      </c>
      <c r="I17" s="11" t="n">
        <f aca="false">IF(ISNUMBER(H17),INT(H17/C17),0)</f>
        <v>112</v>
      </c>
      <c r="J17" s="12" t="n">
        <v>1.4619</v>
      </c>
      <c r="K17" s="14" t="s">
        <v>8</v>
      </c>
      <c r="L17" s="10" t="s">
        <v>63</v>
      </c>
      <c r="M17" s="9" t="s">
        <v>211</v>
      </c>
      <c r="N17" s="10" t="s">
        <v>212</v>
      </c>
      <c r="O17" s="9" t="s">
        <v>213</v>
      </c>
      <c r="P17" s="11" t="n">
        <v>755</v>
      </c>
      <c r="Q17" s="9" t="s">
        <v>214</v>
      </c>
      <c r="R17" s="10" t="s">
        <v>215</v>
      </c>
      <c r="S17" s="9" t="s">
        <v>216</v>
      </c>
      <c r="T17" s="11" t="n">
        <v>2138</v>
      </c>
      <c r="U17" s="9" t="n">
        <f aca="false">IF(ISNUMBER(H17),IF(H17&gt;=100*C17,1,0),0)+IF(ISNUMBER(P17),IF(P17&gt;=100*C17,1,0),0)+IF(ISNUMBER(T17),IF(T17&gt;=100*C17,1,0),0)</f>
        <v>3</v>
      </c>
    </row>
    <row r="18" customFormat="false" ht="22.35" hidden="false" customHeight="false" outlineLevel="0" collapsed="false">
      <c r="A18" s="9" t="n">
        <v>2</v>
      </c>
      <c r="B18" s="10" t="s">
        <v>217</v>
      </c>
      <c r="C18" s="9" t="n">
        <v>13</v>
      </c>
      <c r="D18" s="10" t="s">
        <v>218</v>
      </c>
      <c r="E18" s="9" t="s">
        <v>219</v>
      </c>
      <c r="F18" s="9" t="s">
        <v>220</v>
      </c>
      <c r="G18" s="9" t="s">
        <v>221</v>
      </c>
      <c r="H18" s="11" t="n">
        <v>261555</v>
      </c>
      <c r="I18" s="11" t="n">
        <f aca="false">IF(ISNUMBER(H18),INT(H18/C18),0)</f>
        <v>20119</v>
      </c>
      <c r="J18" s="12" t="n">
        <v>0.0476</v>
      </c>
      <c r="K18" s="15" t="s">
        <v>10</v>
      </c>
      <c r="L18" s="10" t="s">
        <v>222</v>
      </c>
      <c r="M18" s="9" t="s">
        <v>223</v>
      </c>
      <c r="N18" s="10" t="s">
        <v>224</v>
      </c>
      <c r="O18" s="9" t="s">
        <v>225</v>
      </c>
      <c r="P18" s="11" t="n">
        <v>780</v>
      </c>
      <c r="Q18" s="9" t="s">
        <v>226</v>
      </c>
      <c r="R18" s="10" t="s">
        <v>227</v>
      </c>
      <c r="S18" s="9" t="s">
        <v>228</v>
      </c>
      <c r="T18" s="11" t="n">
        <v>980</v>
      </c>
      <c r="U18" s="9" t="n">
        <f aca="false">IF(ISNUMBER(H18),IF(H18&gt;=100*C18,1,0),0)+IF(ISNUMBER(P18),IF(P18&gt;=100*C18,1,0),0)+IF(ISNUMBER(T18),IF(T18&gt;=100*C18,1,0),0)</f>
        <v>1</v>
      </c>
    </row>
    <row r="19" customFormat="false" ht="22.35" hidden="false" customHeight="false" outlineLevel="0" collapsed="false">
      <c r="A19" s="9" t="n">
        <v>20</v>
      </c>
      <c r="B19" s="10" t="s">
        <v>229</v>
      </c>
      <c r="C19" s="9" t="n">
        <v>6</v>
      </c>
      <c r="D19" s="10" t="s">
        <v>230</v>
      </c>
      <c r="E19" s="9" t="s">
        <v>231</v>
      </c>
      <c r="F19" s="9" t="s">
        <v>232</v>
      </c>
      <c r="G19" s="9" t="s">
        <v>233</v>
      </c>
      <c r="H19" s="11" t="n">
        <v>1802</v>
      </c>
      <c r="I19" s="11" t="n">
        <f aca="false">IF(ISNUMBER(H19),INT(H19/C19),0)</f>
        <v>300</v>
      </c>
      <c r="J19" s="12" t="n">
        <v>0.1817</v>
      </c>
      <c r="K19" s="15" t="s">
        <v>10</v>
      </c>
      <c r="L19" s="10" t="s">
        <v>234</v>
      </c>
      <c r="M19" s="9" t="s">
        <v>235</v>
      </c>
      <c r="N19" s="10" t="s">
        <v>236</v>
      </c>
      <c r="O19" s="9" t="s">
        <v>237</v>
      </c>
      <c r="P19" s="11" t="n">
        <v>10270</v>
      </c>
      <c r="Q19" s="9" t="s">
        <v>238</v>
      </c>
      <c r="R19" s="10" t="s">
        <v>239</v>
      </c>
      <c r="S19" s="9" t="s">
        <v>240</v>
      </c>
      <c r="T19" s="11" t="n">
        <v>350</v>
      </c>
      <c r="U19" s="9" t="n">
        <f aca="false">IF(ISNUMBER(H19),IF(H19&gt;=100*C19,1,0),0)+IF(ISNUMBER(P19),IF(P19&gt;=100*C19,1,0),0)+IF(ISNUMBER(T19),IF(T19&gt;=100*C19,1,0),0)</f>
        <v>2</v>
      </c>
    </row>
    <row r="20" customFormat="false" ht="22.35" hidden="false" customHeight="false" outlineLevel="0" collapsed="false">
      <c r="A20" s="9" t="n">
        <v>22</v>
      </c>
      <c r="B20" s="10" t="s">
        <v>241</v>
      </c>
      <c r="C20" s="9" t="n">
        <v>4</v>
      </c>
      <c r="D20" s="10" t="s">
        <v>242</v>
      </c>
      <c r="E20" s="9" t="s">
        <v>242</v>
      </c>
      <c r="F20" s="9" t="s">
        <v>243</v>
      </c>
      <c r="G20" s="9" t="s">
        <v>244</v>
      </c>
      <c r="H20" s="11" t="n">
        <v>1360</v>
      </c>
      <c r="I20" s="11" t="n">
        <f aca="false">IF(ISNUMBER(H20),INT(H20/C20),0)</f>
        <v>340</v>
      </c>
      <c r="J20" s="12" t="n">
        <v>0.012</v>
      </c>
      <c r="K20" s="15" t="s">
        <v>10</v>
      </c>
      <c r="L20" s="10" t="s">
        <v>245</v>
      </c>
      <c r="M20" s="9" t="s">
        <v>246</v>
      </c>
      <c r="N20" s="10" t="s">
        <v>247</v>
      </c>
      <c r="O20" s="9" t="s">
        <v>248</v>
      </c>
      <c r="P20" s="11" t="n">
        <v>163400</v>
      </c>
      <c r="Q20" s="9" t="s">
        <v>249</v>
      </c>
      <c r="R20" s="10" t="s">
        <v>250</v>
      </c>
      <c r="S20" s="9" t="s">
        <v>251</v>
      </c>
      <c r="T20" s="11" t="n">
        <v>18455</v>
      </c>
      <c r="U20" s="9" t="n">
        <f aca="false">IF(ISNUMBER(H20),IF(H20&gt;=100*C20,1,0),0)+IF(ISNUMBER(P20),IF(P20&gt;=100*C20,1,0),0)+IF(ISNUMBER(T20),IF(T20&gt;=100*C20,1,0),0)</f>
        <v>3</v>
      </c>
    </row>
    <row r="21" customFormat="false" ht="22.35" hidden="false" customHeight="false" outlineLevel="0" collapsed="false">
      <c r="A21" s="9" t="n">
        <v>27</v>
      </c>
      <c r="B21" s="10" t="s">
        <v>252</v>
      </c>
      <c r="C21" s="9" t="n">
        <v>1</v>
      </c>
      <c r="D21" s="10" t="s">
        <v>253</v>
      </c>
      <c r="E21" s="9" t="s">
        <v>253</v>
      </c>
      <c r="F21" s="9" t="s">
        <v>254</v>
      </c>
      <c r="G21" s="9" t="s">
        <v>255</v>
      </c>
      <c r="H21" s="11" t="n">
        <v>765</v>
      </c>
      <c r="I21" s="11" t="n">
        <f aca="false">IF(ISNUMBER(H21),INT(H21/C21),0)</f>
        <v>765</v>
      </c>
      <c r="J21" s="12" t="n">
        <v>0.4845</v>
      </c>
      <c r="K21" s="15" t="s">
        <v>10</v>
      </c>
      <c r="L21" s="10" t="s">
        <v>256</v>
      </c>
      <c r="M21" s="9" t="s">
        <v>257</v>
      </c>
      <c r="N21" s="10" t="s">
        <v>258</v>
      </c>
      <c r="O21" s="9" t="s">
        <v>259</v>
      </c>
      <c r="P21" s="11" t="n">
        <v>2710</v>
      </c>
      <c r="Q21" s="9" t="s">
        <v>260</v>
      </c>
      <c r="R21" s="10" t="s">
        <v>261</v>
      </c>
      <c r="S21" s="9" t="s">
        <v>262</v>
      </c>
      <c r="T21" s="11" t="n">
        <v>40</v>
      </c>
      <c r="U21" s="9" t="n">
        <f aca="false">IF(ISNUMBER(H21),IF(H21&gt;=100*C21,1,0),0)+IF(ISNUMBER(P21),IF(P21&gt;=100*C21,1,0),0)+IF(ISNUMBER(T21),IF(T21&gt;=100*C21,1,0),0)</f>
        <v>2</v>
      </c>
    </row>
    <row r="22" customFormat="false" ht="22.35" hidden="false" customHeight="false" outlineLevel="0" collapsed="false">
      <c r="A22" s="9" t="n">
        <v>36</v>
      </c>
      <c r="B22" s="10" t="s">
        <v>263</v>
      </c>
      <c r="C22" s="9" t="n">
        <v>1</v>
      </c>
      <c r="D22" s="10" t="s">
        <v>264</v>
      </c>
      <c r="E22" s="9" t="s">
        <v>264</v>
      </c>
      <c r="F22" s="9" t="s">
        <v>265</v>
      </c>
      <c r="G22" s="9" t="s">
        <v>266</v>
      </c>
      <c r="H22" s="11" t="n">
        <v>1606</v>
      </c>
      <c r="I22" s="11" t="n">
        <f aca="false">IF(ISNUMBER(H22),INT(H22/C22),0)</f>
        <v>1606</v>
      </c>
      <c r="J22" s="12" t="n">
        <v>0.6163</v>
      </c>
      <c r="K22" s="15" t="s">
        <v>10</v>
      </c>
      <c r="L22" s="10" t="s">
        <v>267</v>
      </c>
      <c r="M22" s="9" t="s">
        <v>268</v>
      </c>
      <c r="N22" s="10" t="s">
        <v>269</v>
      </c>
      <c r="O22" s="9" t="s">
        <v>270</v>
      </c>
      <c r="P22" s="11" t="n">
        <v>6090</v>
      </c>
      <c r="Q22" s="9" t="s">
        <v>271</v>
      </c>
      <c r="R22" s="10" t="s">
        <v>272</v>
      </c>
      <c r="S22" s="9" t="s">
        <v>273</v>
      </c>
      <c r="T22" s="11" t="n">
        <v>1385</v>
      </c>
      <c r="U22" s="9" t="n">
        <f aca="false">IF(ISNUMBER(H22),IF(H22&gt;=100*C22,1,0),0)+IF(ISNUMBER(P22),IF(P22&gt;=100*C22,1,0),0)+IF(ISNUMBER(T22),IF(T22&gt;=100*C22,1,0),0)</f>
        <v>3</v>
      </c>
    </row>
    <row r="23" customFormat="false" ht="32.8" hidden="false" customHeight="false" outlineLevel="0" collapsed="false">
      <c r="A23" s="9" t="n">
        <v>52</v>
      </c>
      <c r="B23" s="10" t="s">
        <v>274</v>
      </c>
      <c r="C23" s="9" t="n">
        <v>1</v>
      </c>
      <c r="D23" s="10" t="s">
        <v>275</v>
      </c>
      <c r="E23" s="9" t="s">
        <v>276</v>
      </c>
      <c r="F23" s="9" t="s">
        <v>154</v>
      </c>
      <c r="G23" s="9" t="s">
        <v>277</v>
      </c>
      <c r="H23" s="11" t="n">
        <v>4755</v>
      </c>
      <c r="I23" s="11" t="n">
        <f aca="false">IF(ISNUMBER(H23),INT(H23/C23),0)</f>
        <v>4755</v>
      </c>
      <c r="J23" s="12" t="n">
        <v>0.0506</v>
      </c>
      <c r="K23" s="15" t="s">
        <v>10</v>
      </c>
      <c r="L23" s="10" t="s">
        <v>278</v>
      </c>
      <c r="M23" s="9"/>
      <c r="N23" s="10" t="s">
        <v>208</v>
      </c>
      <c r="O23" s="9"/>
      <c r="P23" s="11"/>
      <c r="Q23" s="9"/>
      <c r="R23" s="10" t="s">
        <v>208</v>
      </c>
      <c r="S23" s="9"/>
      <c r="T23" s="11"/>
      <c r="U23" s="9" t="n">
        <f aca="false">IF(ISNUMBER(H23),IF(H23&gt;=100*C23,1,0),0)+IF(ISNUMBER(P23),IF(P23&gt;=100*C23,1,0),0)+IF(ISNUMBER(T23),IF(T23&gt;=100*C23,1,0),0)</f>
        <v>1</v>
      </c>
    </row>
    <row r="24" customFormat="false" ht="22.35" hidden="false" customHeight="false" outlineLevel="0" collapsed="false">
      <c r="A24" s="9" t="n">
        <v>74</v>
      </c>
      <c r="B24" s="10" t="s">
        <v>279</v>
      </c>
      <c r="C24" s="9" t="n">
        <v>1</v>
      </c>
      <c r="D24" s="10" t="s">
        <v>280</v>
      </c>
      <c r="E24" s="9" t="s">
        <v>280</v>
      </c>
      <c r="F24" s="9" t="s">
        <v>281</v>
      </c>
      <c r="G24" s="9" t="s">
        <v>282</v>
      </c>
      <c r="H24" s="11" t="n">
        <v>4777</v>
      </c>
      <c r="I24" s="11" t="n">
        <f aca="false">IF(ISNUMBER(H24),INT(H24/C24),0)</f>
        <v>4777</v>
      </c>
      <c r="J24" s="12" t="n">
        <v>2.16</v>
      </c>
      <c r="K24" s="15" t="s">
        <v>10</v>
      </c>
      <c r="L24" s="10" t="s">
        <v>283</v>
      </c>
      <c r="M24" s="9"/>
      <c r="N24" s="10" t="s">
        <v>208</v>
      </c>
      <c r="O24" s="9"/>
      <c r="P24" s="11"/>
      <c r="Q24" s="9"/>
      <c r="R24" s="10" t="s">
        <v>208</v>
      </c>
      <c r="S24" s="9"/>
      <c r="T24" s="11"/>
      <c r="U24" s="9" t="n">
        <f aca="false">IF(ISNUMBER(H24),IF(H24&gt;=100*C24,1,0),0)+IF(ISNUMBER(P24),IF(P24&gt;=100*C24,1,0),0)+IF(ISNUMBER(T24),IF(T24&gt;=100*C24,1,0),0)</f>
        <v>1</v>
      </c>
    </row>
    <row r="25" customFormat="false" ht="15" hidden="false" customHeight="false" outlineLevel="0" collapsed="false">
      <c r="A25" s="9" t="n">
        <v>3</v>
      </c>
      <c r="B25" s="10" t="s">
        <v>284</v>
      </c>
      <c r="C25" s="9" t="n">
        <v>2</v>
      </c>
      <c r="D25" s="10" t="s">
        <v>285</v>
      </c>
      <c r="E25" s="9" t="s">
        <v>286</v>
      </c>
      <c r="F25" s="9" t="s">
        <v>287</v>
      </c>
      <c r="G25" s="9" t="s">
        <v>288</v>
      </c>
      <c r="H25" s="11" t="n">
        <v>1977150</v>
      </c>
      <c r="I25" s="11" t="n">
        <f aca="false">IF(ISNUMBER(H25),INT(H25/C25),0)</f>
        <v>988575</v>
      </c>
      <c r="J25" s="12" t="n">
        <v>0.0058</v>
      </c>
      <c r="K25" s="16" t="s">
        <v>12</v>
      </c>
      <c r="L25" s="10" t="s">
        <v>289</v>
      </c>
      <c r="M25" s="9" t="s">
        <v>290</v>
      </c>
      <c r="N25" s="10" t="s">
        <v>291</v>
      </c>
      <c r="O25" s="9" t="s">
        <v>292</v>
      </c>
      <c r="P25" s="11" t="n">
        <v>328150</v>
      </c>
      <c r="Q25" s="9" t="s">
        <v>293</v>
      </c>
      <c r="R25" s="10" t="s">
        <v>294</v>
      </c>
      <c r="S25" s="9" t="s">
        <v>295</v>
      </c>
      <c r="T25" s="11" t="n">
        <v>4980</v>
      </c>
      <c r="U25" s="9" t="n">
        <f aca="false">IF(ISNUMBER(H25),IF(H25&gt;=100*C25,1,0),0)+IF(ISNUMBER(P25),IF(P25&gt;=100*C25,1,0),0)+IF(ISNUMBER(T25),IF(T25&gt;=100*C25,1,0),0)</f>
        <v>3</v>
      </c>
    </row>
    <row r="26" customFormat="false" ht="15" hidden="false" customHeight="false" outlineLevel="0" collapsed="false">
      <c r="A26" s="9" t="n">
        <v>4</v>
      </c>
      <c r="B26" s="10" t="s">
        <v>296</v>
      </c>
      <c r="C26" s="9" t="n">
        <v>3</v>
      </c>
      <c r="D26" s="10" t="s">
        <v>297</v>
      </c>
      <c r="E26" s="9" t="s">
        <v>298</v>
      </c>
      <c r="F26" s="9" t="s">
        <v>154</v>
      </c>
      <c r="G26" s="9" t="s">
        <v>299</v>
      </c>
      <c r="H26" s="11" t="n">
        <v>6739100</v>
      </c>
      <c r="I26" s="11" t="n">
        <f aca="false">IF(ISNUMBER(H26),INT(H26/C26),0)</f>
        <v>2246366</v>
      </c>
      <c r="J26" s="12" t="n">
        <v>0.0067</v>
      </c>
      <c r="K26" s="16" t="s">
        <v>12</v>
      </c>
      <c r="L26" s="10" t="s">
        <v>289</v>
      </c>
      <c r="M26" s="9" t="s">
        <v>300</v>
      </c>
      <c r="N26" s="10" t="s">
        <v>301</v>
      </c>
      <c r="O26" s="9" t="s">
        <v>302</v>
      </c>
      <c r="P26" s="11" t="n">
        <v>835700</v>
      </c>
      <c r="Q26" s="9" t="s">
        <v>303</v>
      </c>
      <c r="R26" s="10" t="s">
        <v>304</v>
      </c>
      <c r="S26" s="9" t="s">
        <v>305</v>
      </c>
      <c r="T26" s="11" t="n">
        <v>13120</v>
      </c>
      <c r="U26" s="9" t="n">
        <f aca="false">IF(ISNUMBER(H26),IF(H26&gt;=100*C26,1,0),0)+IF(ISNUMBER(P26),IF(P26&gt;=100*C26,1,0),0)+IF(ISNUMBER(T26),IF(T26&gt;=100*C26,1,0),0)</f>
        <v>3</v>
      </c>
    </row>
    <row r="27" customFormat="false" ht="15" hidden="false" customHeight="false" outlineLevel="0" collapsed="false">
      <c r="A27" s="9" t="n">
        <v>5</v>
      </c>
      <c r="B27" s="10" t="s">
        <v>306</v>
      </c>
      <c r="C27" s="9" t="n">
        <v>5</v>
      </c>
      <c r="D27" s="10" t="s">
        <v>307</v>
      </c>
      <c r="E27" s="9" t="s">
        <v>308</v>
      </c>
      <c r="F27" s="9" t="s">
        <v>87</v>
      </c>
      <c r="G27" s="9" t="s">
        <v>309</v>
      </c>
      <c r="H27" s="11" t="n">
        <v>2731000</v>
      </c>
      <c r="I27" s="11" t="n">
        <f aca="false">IF(ISNUMBER(H27),INT(H27/C27),0)</f>
        <v>546200</v>
      </c>
      <c r="J27" s="12" t="n">
        <v>0.0087</v>
      </c>
      <c r="K27" s="16" t="s">
        <v>12</v>
      </c>
      <c r="L27" s="10" t="s">
        <v>289</v>
      </c>
      <c r="M27" s="9" t="s">
        <v>310</v>
      </c>
      <c r="N27" s="10" t="s">
        <v>311</v>
      </c>
      <c r="O27" s="9" t="s">
        <v>312</v>
      </c>
      <c r="P27" s="11" t="n">
        <v>774900</v>
      </c>
      <c r="Q27" s="9" t="s">
        <v>313</v>
      </c>
      <c r="R27" s="10" t="s">
        <v>314</v>
      </c>
      <c r="S27" s="9" t="s">
        <v>315</v>
      </c>
      <c r="T27" s="11" t="n">
        <v>23100</v>
      </c>
      <c r="U27" s="9" t="n">
        <f aca="false">IF(ISNUMBER(H27),IF(H27&gt;=100*C27,1,0),0)+IF(ISNUMBER(P27),IF(P27&gt;=100*C27,1,0),0)+IF(ISNUMBER(T27),IF(T27&gt;=100*C27,1,0),0)</f>
        <v>3</v>
      </c>
    </row>
    <row r="28" customFormat="false" ht="15" hidden="false" customHeight="false" outlineLevel="0" collapsed="false">
      <c r="A28" s="9" t="n">
        <v>6</v>
      </c>
      <c r="B28" s="10" t="s">
        <v>316</v>
      </c>
      <c r="C28" s="9" t="n">
        <v>6</v>
      </c>
      <c r="D28" s="10" t="s">
        <v>317</v>
      </c>
      <c r="E28" s="9" t="s">
        <v>318</v>
      </c>
      <c r="F28" s="9" t="s">
        <v>87</v>
      </c>
      <c r="G28" s="9" t="s">
        <v>98</v>
      </c>
      <c r="H28" s="11" t="n">
        <v>2343800</v>
      </c>
      <c r="I28" s="11" t="n">
        <f aca="false">IF(ISNUMBER(H28),INT(H28/C28),0)</f>
        <v>390633</v>
      </c>
      <c r="J28" s="12" t="n">
        <v>0.0049</v>
      </c>
      <c r="K28" s="16" t="s">
        <v>12</v>
      </c>
      <c r="L28" s="10" t="s">
        <v>289</v>
      </c>
      <c r="M28" s="9" t="s">
        <v>319</v>
      </c>
      <c r="N28" s="10" t="s">
        <v>320</v>
      </c>
      <c r="O28" s="9" t="s">
        <v>321</v>
      </c>
      <c r="P28" s="11" t="n">
        <v>4590850</v>
      </c>
      <c r="Q28" s="9" t="s">
        <v>322</v>
      </c>
      <c r="R28" s="10" t="s">
        <v>323</v>
      </c>
      <c r="S28" s="9" t="s">
        <v>324</v>
      </c>
      <c r="T28" s="11" t="n">
        <v>1825760</v>
      </c>
      <c r="U28" s="9" t="n">
        <f aca="false">IF(ISNUMBER(H28),IF(H28&gt;=100*C28,1,0),0)+IF(ISNUMBER(P28),IF(P28&gt;=100*C28,1,0),0)+IF(ISNUMBER(T28),IF(T28&gt;=100*C28,1,0),0)</f>
        <v>3</v>
      </c>
    </row>
    <row r="29" customFormat="false" ht="22.35" hidden="false" customHeight="false" outlineLevel="0" collapsed="false">
      <c r="A29" s="9" t="n">
        <v>7</v>
      </c>
      <c r="B29" s="10" t="s">
        <v>325</v>
      </c>
      <c r="C29" s="9" t="n">
        <v>9</v>
      </c>
      <c r="D29" s="10" t="s">
        <v>326</v>
      </c>
      <c r="E29" s="9" t="s">
        <v>327</v>
      </c>
      <c r="F29" s="9" t="s">
        <v>87</v>
      </c>
      <c r="G29" s="9" t="s">
        <v>328</v>
      </c>
      <c r="H29" s="11" t="n">
        <v>3082660</v>
      </c>
      <c r="I29" s="11" t="n">
        <f aca="false">IF(ISNUMBER(H29),INT(H29/C29),0)</f>
        <v>342517</v>
      </c>
      <c r="J29" s="12" t="n">
        <v>0.0528</v>
      </c>
      <c r="K29" s="16" t="s">
        <v>12</v>
      </c>
      <c r="L29" s="10" t="s">
        <v>289</v>
      </c>
      <c r="M29" s="9" t="s">
        <v>329</v>
      </c>
      <c r="N29" s="10" t="s">
        <v>330</v>
      </c>
      <c r="O29" s="9" t="s">
        <v>331</v>
      </c>
      <c r="P29" s="11" t="n">
        <v>100165</v>
      </c>
      <c r="Q29" s="9" t="s">
        <v>332</v>
      </c>
      <c r="R29" s="10" t="s">
        <v>333</v>
      </c>
      <c r="S29" s="9" t="s">
        <v>334</v>
      </c>
      <c r="T29" s="11" t="n">
        <v>99525</v>
      </c>
      <c r="U29" s="9" t="n">
        <f aca="false">IF(ISNUMBER(H29),IF(H29&gt;=100*C29,1,0),0)+IF(ISNUMBER(P29),IF(P29&gt;=100*C29,1,0),0)+IF(ISNUMBER(T29),IF(T29&gt;=100*C29,1,0),0)</f>
        <v>3</v>
      </c>
    </row>
    <row r="30" customFormat="false" ht="15" hidden="false" customHeight="false" outlineLevel="0" collapsed="false">
      <c r="A30" s="9" t="n">
        <v>8</v>
      </c>
      <c r="B30" s="10" t="s">
        <v>335</v>
      </c>
      <c r="C30" s="9" t="n">
        <v>2</v>
      </c>
      <c r="D30" s="10" t="s">
        <v>336</v>
      </c>
      <c r="E30" s="9" t="s">
        <v>337</v>
      </c>
      <c r="F30" s="9" t="s">
        <v>87</v>
      </c>
      <c r="G30" s="9" t="s">
        <v>338</v>
      </c>
      <c r="H30" s="11" t="n">
        <v>100080</v>
      </c>
      <c r="I30" s="11" t="n">
        <f aca="false">IF(ISNUMBER(H30),INT(H30/C30),0)</f>
        <v>50040</v>
      </c>
      <c r="J30" s="12" t="n">
        <v>0.1061</v>
      </c>
      <c r="K30" s="16" t="s">
        <v>12</v>
      </c>
      <c r="L30" s="10" t="s">
        <v>289</v>
      </c>
      <c r="M30" s="9" t="s">
        <v>339</v>
      </c>
      <c r="N30" s="10" t="s">
        <v>340</v>
      </c>
      <c r="O30" s="9" t="s">
        <v>341</v>
      </c>
      <c r="P30" s="11" t="n">
        <v>131690</v>
      </c>
      <c r="Q30" s="9" t="s">
        <v>342</v>
      </c>
      <c r="R30" s="10" t="s">
        <v>343</v>
      </c>
      <c r="S30" s="9" t="s">
        <v>344</v>
      </c>
      <c r="T30" s="11" t="n">
        <v>85780</v>
      </c>
      <c r="U30" s="9" t="n">
        <f aca="false">IF(ISNUMBER(H30),IF(H30&gt;=100*C30,1,0),0)+IF(ISNUMBER(P30),IF(P30&gt;=100*C30,1,0),0)+IF(ISNUMBER(T30),IF(T30&gt;=100*C30,1,0),0)</f>
        <v>3</v>
      </c>
    </row>
    <row r="31" customFormat="false" ht="15" hidden="false" customHeight="false" outlineLevel="0" collapsed="false">
      <c r="A31" s="9" t="n">
        <v>11</v>
      </c>
      <c r="B31" s="10" t="s">
        <v>345</v>
      </c>
      <c r="C31" s="9" t="n">
        <v>1</v>
      </c>
      <c r="D31" s="10" t="s">
        <v>346</v>
      </c>
      <c r="E31" s="9" t="s">
        <v>347</v>
      </c>
      <c r="F31" s="9" t="s">
        <v>87</v>
      </c>
      <c r="G31" s="9" t="s">
        <v>348</v>
      </c>
      <c r="H31" s="11" t="n">
        <v>584680</v>
      </c>
      <c r="I31" s="11" t="n">
        <f aca="false">IF(ISNUMBER(H31),INT(H31/C31),0)</f>
        <v>584680</v>
      </c>
      <c r="J31" s="12" t="n">
        <v>0.0114</v>
      </c>
      <c r="K31" s="16" t="s">
        <v>12</v>
      </c>
      <c r="L31" s="10" t="s">
        <v>289</v>
      </c>
      <c r="M31" s="9" t="s">
        <v>349</v>
      </c>
      <c r="N31" s="10" t="s">
        <v>350</v>
      </c>
      <c r="O31" s="9" t="s">
        <v>351</v>
      </c>
      <c r="P31" s="11" t="n">
        <v>157460</v>
      </c>
      <c r="Q31" s="9" t="s">
        <v>352</v>
      </c>
      <c r="R31" s="10" t="s">
        <v>353</v>
      </c>
      <c r="S31" s="9" t="s">
        <v>354</v>
      </c>
      <c r="T31" s="11" t="n">
        <v>106410</v>
      </c>
      <c r="U31" s="9" t="n">
        <f aca="false">IF(ISNUMBER(H31),IF(H31&gt;=100*C31,1,0),0)+IF(ISNUMBER(P31),IF(P31&gt;=100*C31,1,0),0)+IF(ISNUMBER(T31),IF(T31&gt;=100*C31,1,0),0)</f>
        <v>3</v>
      </c>
    </row>
    <row r="32" customFormat="false" ht="15" hidden="false" customHeight="false" outlineLevel="0" collapsed="false">
      <c r="A32" s="9" t="n">
        <v>12</v>
      </c>
      <c r="B32" s="10" t="s">
        <v>355</v>
      </c>
      <c r="C32" s="9" t="n">
        <v>2</v>
      </c>
      <c r="D32" s="10" t="s">
        <v>356</v>
      </c>
      <c r="E32" s="9" t="s">
        <v>357</v>
      </c>
      <c r="F32" s="9" t="s">
        <v>287</v>
      </c>
      <c r="G32" s="9" t="s">
        <v>358</v>
      </c>
      <c r="H32" s="11" t="n">
        <v>1236600</v>
      </c>
      <c r="I32" s="11" t="n">
        <f aca="false">IF(ISNUMBER(H32),INT(H32/C32),0)</f>
        <v>618300</v>
      </c>
      <c r="J32" s="12" t="n">
        <v>0.0013</v>
      </c>
      <c r="K32" s="16" t="s">
        <v>12</v>
      </c>
      <c r="L32" s="10" t="s">
        <v>289</v>
      </c>
      <c r="M32" s="9" t="s">
        <v>359</v>
      </c>
      <c r="N32" s="10" t="s">
        <v>360</v>
      </c>
      <c r="O32" s="9" t="s">
        <v>361</v>
      </c>
      <c r="P32" s="11" t="n">
        <v>145100</v>
      </c>
      <c r="Q32" s="9" t="s">
        <v>362</v>
      </c>
      <c r="R32" s="10" t="s">
        <v>363</v>
      </c>
      <c r="S32" s="9" t="s">
        <v>364</v>
      </c>
      <c r="T32" s="11" t="n">
        <v>6900</v>
      </c>
      <c r="U32" s="9" t="n">
        <f aca="false">IF(ISNUMBER(H32),IF(H32&gt;=100*C32,1,0),0)+IF(ISNUMBER(P32),IF(P32&gt;=100*C32,1,0),0)+IF(ISNUMBER(T32),IF(T32&gt;=100*C32,1,0),0)</f>
        <v>3</v>
      </c>
    </row>
    <row r="33" customFormat="false" ht="15" hidden="false" customHeight="false" outlineLevel="0" collapsed="false">
      <c r="A33" s="9" t="n">
        <v>13</v>
      </c>
      <c r="B33" s="10" t="s">
        <v>365</v>
      </c>
      <c r="C33" s="9" t="n">
        <v>5</v>
      </c>
      <c r="D33" s="10" t="s">
        <v>366</v>
      </c>
      <c r="E33" s="9" t="s">
        <v>367</v>
      </c>
      <c r="F33" s="9" t="s">
        <v>154</v>
      </c>
      <c r="G33" s="9" t="s">
        <v>368</v>
      </c>
      <c r="H33" s="11" t="n">
        <v>60500</v>
      </c>
      <c r="I33" s="11" t="n">
        <f aca="false">IF(ISNUMBER(H33),INT(H33/C33),0)</f>
        <v>12100</v>
      </c>
      <c r="J33" s="12" t="n">
        <v>0.0096</v>
      </c>
      <c r="K33" s="16" t="s">
        <v>12</v>
      </c>
      <c r="L33" s="10" t="s">
        <v>289</v>
      </c>
      <c r="M33" s="9" t="s">
        <v>369</v>
      </c>
      <c r="N33" s="10" t="s">
        <v>370</v>
      </c>
      <c r="O33" s="9" t="s">
        <v>371</v>
      </c>
      <c r="P33" s="11" t="n">
        <v>158300</v>
      </c>
      <c r="Q33" s="9" t="s">
        <v>372</v>
      </c>
      <c r="R33" s="10" t="s">
        <v>373</v>
      </c>
      <c r="S33" s="9" t="s">
        <v>374</v>
      </c>
      <c r="T33" s="11" t="n">
        <v>12750</v>
      </c>
      <c r="U33" s="9" t="n">
        <f aca="false">IF(ISNUMBER(H33),IF(H33&gt;=100*C33,1,0),0)+IF(ISNUMBER(P33),IF(P33&gt;=100*C33,1,0),0)+IF(ISNUMBER(T33),IF(T33&gt;=100*C33,1,0),0)</f>
        <v>3</v>
      </c>
    </row>
    <row r="34" customFormat="false" ht="15" hidden="false" customHeight="false" outlineLevel="0" collapsed="false">
      <c r="A34" s="9" t="n">
        <v>14</v>
      </c>
      <c r="B34" s="10" t="s">
        <v>375</v>
      </c>
      <c r="C34" s="9" t="n">
        <v>1</v>
      </c>
      <c r="D34" s="10" t="s">
        <v>376</v>
      </c>
      <c r="E34" s="9" t="s">
        <v>377</v>
      </c>
      <c r="F34" s="9" t="s">
        <v>154</v>
      </c>
      <c r="G34" s="9" t="s">
        <v>378</v>
      </c>
      <c r="H34" s="11" t="n">
        <v>349500</v>
      </c>
      <c r="I34" s="11" t="n">
        <f aca="false">IF(ISNUMBER(H34),INT(H34/C34),0)</f>
        <v>349500</v>
      </c>
      <c r="J34" s="12" t="n">
        <v>0.0021</v>
      </c>
      <c r="K34" s="16" t="s">
        <v>12</v>
      </c>
      <c r="L34" s="10" t="s">
        <v>289</v>
      </c>
      <c r="M34" s="9" t="s">
        <v>379</v>
      </c>
      <c r="N34" s="10" t="s">
        <v>380</v>
      </c>
      <c r="O34" s="9" t="s">
        <v>381</v>
      </c>
      <c r="P34" s="11" t="n">
        <v>74200</v>
      </c>
      <c r="Q34" s="9" t="s">
        <v>382</v>
      </c>
      <c r="R34" s="10" t="s">
        <v>383</v>
      </c>
      <c r="S34" s="9" t="s">
        <v>384</v>
      </c>
      <c r="T34" s="11" t="n">
        <v>2700</v>
      </c>
      <c r="U34" s="9" t="n">
        <f aca="false">IF(ISNUMBER(H34),IF(H34&gt;=100*C34,1,0),0)+IF(ISNUMBER(P34),IF(P34&gt;=100*C34,1,0),0)+IF(ISNUMBER(T34),IF(T34&gt;=100*C34,1,0),0)</f>
        <v>3</v>
      </c>
    </row>
    <row r="35" customFormat="false" ht="22.35" hidden="false" customHeight="false" outlineLevel="0" collapsed="false">
      <c r="A35" s="9" t="n">
        <v>15</v>
      </c>
      <c r="B35" s="10" t="s">
        <v>385</v>
      </c>
      <c r="C35" s="9" t="n">
        <v>1</v>
      </c>
      <c r="D35" s="10" t="s">
        <v>386</v>
      </c>
      <c r="E35" s="9" t="s">
        <v>387</v>
      </c>
      <c r="F35" s="9" t="s">
        <v>388</v>
      </c>
      <c r="G35" s="9" t="s">
        <v>389</v>
      </c>
      <c r="H35" s="11" t="n">
        <v>52755</v>
      </c>
      <c r="I35" s="11" t="n">
        <f aca="false">IF(ISNUMBER(H35),INT(H35/C35),0)</f>
        <v>52755</v>
      </c>
      <c r="J35" s="12" t="n">
        <v>0.06</v>
      </c>
      <c r="K35" s="16" t="s">
        <v>12</v>
      </c>
      <c r="L35" s="10" t="s">
        <v>289</v>
      </c>
      <c r="M35" s="9" t="s">
        <v>390</v>
      </c>
      <c r="N35" s="10" t="s">
        <v>391</v>
      </c>
      <c r="O35" s="9" t="s">
        <v>392</v>
      </c>
      <c r="P35" s="11" t="n">
        <v>65320</v>
      </c>
      <c r="Q35" s="9" t="s">
        <v>393</v>
      </c>
      <c r="R35" s="10" t="s">
        <v>394</v>
      </c>
      <c r="S35" s="9" t="s">
        <v>395</v>
      </c>
      <c r="T35" s="11" t="n">
        <v>10855</v>
      </c>
      <c r="U35" s="9" t="n">
        <f aca="false">IF(ISNUMBER(H35),IF(H35&gt;=100*C35,1,0),0)+IF(ISNUMBER(P35),IF(P35&gt;=100*C35,1,0),0)+IF(ISNUMBER(T35),IF(T35&gt;=100*C35,1,0),0)</f>
        <v>3</v>
      </c>
    </row>
    <row r="36" customFormat="false" ht="15" hidden="false" customHeight="false" outlineLevel="0" collapsed="false">
      <c r="A36" s="9" t="n">
        <v>16</v>
      </c>
      <c r="B36" s="10" t="s">
        <v>396</v>
      </c>
      <c r="C36" s="9" t="n">
        <v>1</v>
      </c>
      <c r="D36" s="10" t="s">
        <v>397</v>
      </c>
      <c r="E36" s="9" t="s">
        <v>398</v>
      </c>
      <c r="F36" s="9" t="s">
        <v>287</v>
      </c>
      <c r="G36" s="9" t="s">
        <v>399</v>
      </c>
      <c r="H36" s="11" t="n">
        <v>309050</v>
      </c>
      <c r="I36" s="11" t="n">
        <f aca="false">IF(ISNUMBER(H36),INT(H36/C36),0)</f>
        <v>309050</v>
      </c>
      <c r="J36" s="12" t="n">
        <v>0.0027</v>
      </c>
      <c r="K36" s="16" t="s">
        <v>12</v>
      </c>
      <c r="L36" s="10" t="s">
        <v>289</v>
      </c>
      <c r="M36" s="9" t="s">
        <v>400</v>
      </c>
      <c r="N36" s="10" t="s">
        <v>401</v>
      </c>
      <c r="O36" s="9" t="s">
        <v>402</v>
      </c>
      <c r="P36" s="11" t="n">
        <v>14250</v>
      </c>
      <c r="Q36" s="9" t="s">
        <v>403</v>
      </c>
      <c r="R36" s="10" t="s">
        <v>404</v>
      </c>
      <c r="S36" s="9" t="s">
        <v>405</v>
      </c>
      <c r="T36" s="11" t="n">
        <v>9300</v>
      </c>
      <c r="U36" s="9" t="n">
        <f aca="false">IF(ISNUMBER(H36),IF(H36&gt;=100*C36,1,0),0)+IF(ISNUMBER(P36),IF(P36&gt;=100*C36,1,0),0)+IF(ISNUMBER(T36),IF(T36&gt;=100*C36,1,0),0)</f>
        <v>3</v>
      </c>
    </row>
    <row r="37" customFormat="false" ht="15" hidden="false" customHeight="false" outlineLevel="0" collapsed="false">
      <c r="A37" s="9" t="n">
        <v>17</v>
      </c>
      <c r="B37" s="10" t="s">
        <v>406</v>
      </c>
      <c r="C37" s="9" t="n">
        <v>2</v>
      </c>
      <c r="D37" s="10" t="s">
        <v>407</v>
      </c>
      <c r="E37" s="9" t="s">
        <v>408</v>
      </c>
      <c r="F37" s="9" t="s">
        <v>154</v>
      </c>
      <c r="G37" s="9" t="s">
        <v>409</v>
      </c>
      <c r="H37" s="11" t="n">
        <v>483000</v>
      </c>
      <c r="I37" s="11" t="n">
        <f aca="false">IF(ISNUMBER(H37),INT(H37/C37),0)</f>
        <v>241500</v>
      </c>
      <c r="J37" s="12" t="n">
        <v>0.0024</v>
      </c>
      <c r="K37" s="16" t="s">
        <v>12</v>
      </c>
      <c r="L37" s="10" t="s">
        <v>289</v>
      </c>
      <c r="M37" s="9" t="s">
        <v>410</v>
      </c>
      <c r="N37" s="10" t="s">
        <v>411</v>
      </c>
      <c r="O37" s="9" t="s">
        <v>412</v>
      </c>
      <c r="P37" s="11" t="n">
        <v>33400</v>
      </c>
      <c r="Q37" s="9" t="s">
        <v>413</v>
      </c>
      <c r="R37" s="10" t="s">
        <v>414</v>
      </c>
      <c r="S37" s="9" t="s">
        <v>415</v>
      </c>
      <c r="T37" s="11" t="n">
        <v>27400</v>
      </c>
      <c r="U37" s="9" t="n">
        <f aca="false">IF(ISNUMBER(H37),IF(H37&gt;=100*C37,1,0),0)+IF(ISNUMBER(P37),IF(P37&gt;=100*C37,1,0),0)+IF(ISNUMBER(T37),IF(T37&gt;=100*C37,1,0),0)</f>
        <v>3</v>
      </c>
    </row>
    <row r="38" customFormat="false" ht="15" hidden="false" customHeight="false" outlineLevel="0" collapsed="false">
      <c r="A38" s="9" t="n">
        <v>19</v>
      </c>
      <c r="B38" s="10" t="s">
        <v>416</v>
      </c>
      <c r="C38" s="9" t="n">
        <v>1</v>
      </c>
      <c r="D38" s="10" t="s">
        <v>417</v>
      </c>
      <c r="E38" s="9" t="s">
        <v>418</v>
      </c>
      <c r="F38" s="9" t="s">
        <v>154</v>
      </c>
      <c r="G38" s="9" t="s">
        <v>419</v>
      </c>
      <c r="H38" s="11" t="n">
        <v>80950</v>
      </c>
      <c r="I38" s="11" t="n">
        <f aca="false">IF(ISNUMBER(H38),INT(H38/C38),0)</f>
        <v>80950</v>
      </c>
      <c r="J38" s="12" t="n">
        <v>0.008</v>
      </c>
      <c r="K38" s="16" t="s">
        <v>12</v>
      </c>
      <c r="L38" s="10" t="s">
        <v>289</v>
      </c>
      <c r="M38" s="9" t="s">
        <v>400</v>
      </c>
      <c r="N38" s="10" t="s">
        <v>420</v>
      </c>
      <c r="O38" s="9" t="s">
        <v>402</v>
      </c>
      <c r="P38" s="11" t="n">
        <v>14250</v>
      </c>
      <c r="Q38" s="9" t="s">
        <v>421</v>
      </c>
      <c r="R38" s="10" t="s">
        <v>422</v>
      </c>
      <c r="S38" s="9" t="s">
        <v>423</v>
      </c>
      <c r="T38" s="11" t="n">
        <v>2600</v>
      </c>
      <c r="U38" s="9" t="n">
        <f aca="false">IF(ISNUMBER(H38),IF(H38&gt;=100*C38,1,0),0)+IF(ISNUMBER(P38),IF(P38&gt;=100*C38,1,0),0)+IF(ISNUMBER(T38),IF(T38&gt;=100*C38,1,0),0)</f>
        <v>3</v>
      </c>
    </row>
    <row r="39" customFormat="false" ht="15" hidden="false" customHeight="false" outlineLevel="0" collapsed="false">
      <c r="A39" s="9" t="n">
        <v>21</v>
      </c>
      <c r="B39" s="10" t="s">
        <v>424</v>
      </c>
      <c r="C39" s="9" t="n">
        <v>1</v>
      </c>
      <c r="D39" s="10" t="s">
        <v>425</v>
      </c>
      <c r="E39" s="9" t="s">
        <v>425</v>
      </c>
      <c r="F39" s="9" t="s">
        <v>426</v>
      </c>
      <c r="G39" s="9" t="s">
        <v>427</v>
      </c>
      <c r="H39" s="11" t="n">
        <v>9260</v>
      </c>
      <c r="I39" s="11" t="n">
        <f aca="false">IF(ISNUMBER(H39),INT(H39/C39),0)</f>
        <v>9260</v>
      </c>
      <c r="J39" s="12" t="n">
        <v>0.0163</v>
      </c>
      <c r="K39" s="16" t="s">
        <v>12</v>
      </c>
      <c r="L39" s="10" t="s">
        <v>289</v>
      </c>
      <c r="M39" s="9" t="s">
        <v>428</v>
      </c>
      <c r="N39" s="10" t="s">
        <v>429</v>
      </c>
      <c r="O39" s="9" t="s">
        <v>430</v>
      </c>
      <c r="P39" s="11" t="n">
        <v>7885</v>
      </c>
      <c r="Q39" s="9" t="s">
        <v>431</v>
      </c>
      <c r="R39" s="10" t="s">
        <v>432</v>
      </c>
      <c r="S39" s="9" t="s">
        <v>433</v>
      </c>
      <c r="T39" s="11" t="n">
        <v>2665</v>
      </c>
      <c r="U39" s="9" t="n">
        <f aca="false">IF(ISNUMBER(H39),IF(H39&gt;=100*C39,1,0),0)+IF(ISNUMBER(P39),IF(P39&gt;=100*C39,1,0),0)+IF(ISNUMBER(T39),IF(T39&gt;=100*C39,1,0),0)</f>
        <v>3</v>
      </c>
    </row>
    <row r="40" customFormat="false" ht="22.35" hidden="false" customHeight="false" outlineLevel="0" collapsed="false">
      <c r="A40" s="9" t="n">
        <v>23</v>
      </c>
      <c r="B40" s="10" t="s">
        <v>434</v>
      </c>
      <c r="C40" s="9" t="n">
        <v>1</v>
      </c>
      <c r="D40" s="10" t="s">
        <v>435</v>
      </c>
      <c r="E40" s="9" t="s">
        <v>435</v>
      </c>
      <c r="F40" s="9" t="s">
        <v>265</v>
      </c>
      <c r="G40" s="9" t="s">
        <v>436</v>
      </c>
      <c r="H40" s="11" t="n">
        <v>119530</v>
      </c>
      <c r="I40" s="11" t="n">
        <f aca="false">IF(ISNUMBER(H40),INT(H40/C40),0)</f>
        <v>119530</v>
      </c>
      <c r="J40" s="12" t="n">
        <v>0.0381</v>
      </c>
      <c r="K40" s="16" t="s">
        <v>12</v>
      </c>
      <c r="L40" s="10" t="s">
        <v>289</v>
      </c>
      <c r="M40" s="9" t="s">
        <v>437</v>
      </c>
      <c r="N40" s="10" t="s">
        <v>438</v>
      </c>
      <c r="O40" s="9" t="s">
        <v>439</v>
      </c>
      <c r="P40" s="11" t="n">
        <v>2950</v>
      </c>
      <c r="Q40" s="9" t="s">
        <v>440</v>
      </c>
      <c r="R40" s="10" t="s">
        <v>441</v>
      </c>
      <c r="S40" s="9" t="s">
        <v>442</v>
      </c>
      <c r="T40" s="11" t="n">
        <v>2510</v>
      </c>
      <c r="U40" s="9" t="n">
        <f aca="false">IF(ISNUMBER(H40),IF(H40&gt;=100*C40,1,0),0)+IF(ISNUMBER(P40),IF(P40&gt;=100*C40,1,0),0)+IF(ISNUMBER(T40),IF(T40&gt;=100*C40,1,0),0)</f>
        <v>3</v>
      </c>
    </row>
    <row r="41" customFormat="false" ht="22.35" hidden="false" customHeight="false" outlineLevel="0" collapsed="false">
      <c r="A41" s="9" t="n">
        <v>24</v>
      </c>
      <c r="B41" s="10" t="s">
        <v>443</v>
      </c>
      <c r="C41" s="9" t="n">
        <v>1</v>
      </c>
      <c r="D41" s="10" t="s">
        <v>444</v>
      </c>
      <c r="E41" s="9" t="s">
        <v>445</v>
      </c>
      <c r="F41" s="9" t="s">
        <v>446</v>
      </c>
      <c r="G41" s="9" t="s">
        <v>447</v>
      </c>
      <c r="H41" s="11" t="n">
        <v>476000</v>
      </c>
      <c r="I41" s="11" t="n">
        <f aca="false">IF(ISNUMBER(H41),INT(H41/C41),0)</f>
        <v>476000</v>
      </c>
      <c r="J41" s="12" t="n">
        <v>0.0058</v>
      </c>
      <c r="K41" s="16" t="s">
        <v>12</v>
      </c>
      <c r="L41" s="10" t="s">
        <v>289</v>
      </c>
      <c r="M41" s="9" t="s">
        <v>448</v>
      </c>
      <c r="N41" s="10" t="s">
        <v>449</v>
      </c>
      <c r="O41" s="9" t="s">
        <v>450</v>
      </c>
      <c r="P41" s="11" t="n">
        <v>837050</v>
      </c>
      <c r="Q41" s="9" t="s">
        <v>451</v>
      </c>
      <c r="R41" s="10" t="s">
        <v>452</v>
      </c>
      <c r="S41" s="9" t="s">
        <v>453</v>
      </c>
      <c r="T41" s="11" t="n">
        <v>845850</v>
      </c>
      <c r="U41" s="9" t="n">
        <f aca="false">IF(ISNUMBER(H41),IF(H41&gt;=100*C41,1,0),0)+IF(ISNUMBER(P41),IF(P41&gt;=100*C41,1,0),0)+IF(ISNUMBER(T41),IF(T41&gt;=100*C41,1,0),0)</f>
        <v>3</v>
      </c>
    </row>
    <row r="42" customFormat="false" ht="15" hidden="false" customHeight="false" outlineLevel="0" collapsed="false">
      <c r="A42" s="9" t="n">
        <v>25</v>
      </c>
      <c r="B42" s="10" t="s">
        <v>454</v>
      </c>
      <c r="C42" s="9" t="n">
        <v>1</v>
      </c>
      <c r="D42" s="10" t="s">
        <v>455</v>
      </c>
      <c r="E42" s="9" t="s">
        <v>456</v>
      </c>
      <c r="F42" s="9" t="s">
        <v>446</v>
      </c>
      <c r="G42" s="9" t="s">
        <v>457</v>
      </c>
      <c r="H42" s="11" t="n">
        <v>5889200</v>
      </c>
      <c r="I42" s="11" t="n">
        <f aca="false">IF(ISNUMBER(H42),INT(H42/C42),0)</f>
        <v>5889200</v>
      </c>
      <c r="J42" s="12" t="n">
        <v>0.0036</v>
      </c>
      <c r="K42" s="16" t="s">
        <v>12</v>
      </c>
      <c r="L42" s="10" t="s">
        <v>289</v>
      </c>
      <c r="M42" s="9" t="s">
        <v>458</v>
      </c>
      <c r="N42" s="10" t="s">
        <v>459</v>
      </c>
      <c r="O42" s="9" t="s">
        <v>460</v>
      </c>
      <c r="P42" s="11" t="n">
        <v>3778500</v>
      </c>
      <c r="Q42" s="9" t="s">
        <v>461</v>
      </c>
      <c r="R42" s="10" t="s">
        <v>462</v>
      </c>
      <c r="S42" s="9" t="s">
        <v>463</v>
      </c>
      <c r="T42" s="11" t="n">
        <v>64200</v>
      </c>
      <c r="U42" s="9" t="n">
        <f aca="false">IF(ISNUMBER(H42),IF(H42&gt;=100*C42,1,0),0)+IF(ISNUMBER(P42),IF(P42&gt;=100*C42,1,0),0)+IF(ISNUMBER(T42),IF(T42&gt;=100*C42,1,0),0)</f>
        <v>3</v>
      </c>
    </row>
    <row r="43" customFormat="false" ht="15" hidden="false" customHeight="false" outlineLevel="0" collapsed="false">
      <c r="A43" s="9" t="n">
        <v>26</v>
      </c>
      <c r="B43" s="10" t="s">
        <v>464</v>
      </c>
      <c r="C43" s="9" t="n">
        <v>1</v>
      </c>
      <c r="D43" s="10" t="s">
        <v>465</v>
      </c>
      <c r="E43" s="9" t="s">
        <v>465</v>
      </c>
      <c r="F43" s="9" t="s">
        <v>466</v>
      </c>
      <c r="G43" s="9" t="s">
        <v>467</v>
      </c>
      <c r="H43" s="11" t="n">
        <v>2881050</v>
      </c>
      <c r="I43" s="11" t="n">
        <f aca="false">IF(ISNUMBER(H43),INT(H43/C43),0)</f>
        <v>2881050</v>
      </c>
      <c r="J43" s="12" t="n">
        <v>0.0061</v>
      </c>
      <c r="K43" s="16" t="s">
        <v>12</v>
      </c>
      <c r="L43" s="10" t="s">
        <v>468</v>
      </c>
      <c r="M43" s="9" t="s">
        <v>469</v>
      </c>
      <c r="N43" s="10" t="s">
        <v>470</v>
      </c>
      <c r="O43" s="9" t="s">
        <v>471</v>
      </c>
      <c r="P43" s="11" t="n">
        <v>1400</v>
      </c>
      <c r="Q43" s="9"/>
      <c r="R43" s="10" t="s">
        <v>208</v>
      </c>
      <c r="S43" s="9"/>
      <c r="T43" s="11"/>
      <c r="U43" s="9" t="n">
        <f aca="false">IF(ISNUMBER(H43),IF(H43&gt;=100*C43,1,0),0)+IF(ISNUMBER(P43),IF(P43&gt;=100*C43,1,0),0)+IF(ISNUMBER(T43),IF(T43&gt;=100*C43,1,0),0)</f>
        <v>2</v>
      </c>
    </row>
    <row r="44" customFormat="false" ht="15" hidden="false" customHeight="false" outlineLevel="0" collapsed="false">
      <c r="A44" s="9" t="n">
        <v>31</v>
      </c>
      <c r="B44" s="10" t="s">
        <v>472</v>
      </c>
      <c r="C44" s="9" t="n">
        <v>2</v>
      </c>
      <c r="D44" s="10" t="s">
        <v>473</v>
      </c>
      <c r="E44" s="9" t="s">
        <v>473</v>
      </c>
      <c r="F44" s="9" t="s">
        <v>128</v>
      </c>
      <c r="G44" s="9" t="s">
        <v>474</v>
      </c>
      <c r="H44" s="11" t="n">
        <v>4695</v>
      </c>
      <c r="I44" s="11" t="n">
        <f aca="false">IF(ISNUMBER(H44),INT(H44/C44),0)</f>
        <v>2347</v>
      </c>
      <c r="J44" s="12" t="n">
        <v>0.286</v>
      </c>
      <c r="K44" s="16" t="s">
        <v>12</v>
      </c>
      <c r="L44" s="10" t="s">
        <v>289</v>
      </c>
      <c r="M44" s="9" t="s">
        <v>132</v>
      </c>
      <c r="N44" s="10" t="s">
        <v>475</v>
      </c>
      <c r="O44" s="9" t="s">
        <v>134</v>
      </c>
      <c r="P44" s="11" t="n">
        <v>645</v>
      </c>
      <c r="Q44" s="9" t="s">
        <v>129</v>
      </c>
      <c r="R44" s="10" t="s">
        <v>130</v>
      </c>
      <c r="S44" s="9" t="s">
        <v>131</v>
      </c>
      <c r="T44" s="11" t="n">
        <v>7577</v>
      </c>
      <c r="U44" s="9" t="n">
        <f aca="false">IF(ISNUMBER(H44),IF(H44&gt;=100*C44,1,0),0)+IF(ISNUMBER(P44),IF(P44&gt;=100*C44,1,0),0)+IF(ISNUMBER(T44),IF(T44&gt;=100*C44,1,0),0)</f>
        <v>3</v>
      </c>
    </row>
    <row r="45" customFormat="false" ht="15" hidden="false" customHeight="false" outlineLevel="0" collapsed="false">
      <c r="A45" s="9" t="n">
        <v>33</v>
      </c>
      <c r="B45" s="10" t="s">
        <v>476</v>
      </c>
      <c r="C45" s="9" t="n">
        <v>2</v>
      </c>
      <c r="D45" s="10" t="s">
        <v>477</v>
      </c>
      <c r="E45" s="9" t="s">
        <v>477</v>
      </c>
      <c r="F45" s="9" t="s">
        <v>478</v>
      </c>
      <c r="G45" s="9" t="s">
        <v>479</v>
      </c>
      <c r="H45" s="11" t="n">
        <v>4771</v>
      </c>
      <c r="I45" s="11" t="n">
        <f aca="false">IF(ISNUMBER(H45),INT(H45/C45),0)</f>
        <v>2385</v>
      </c>
      <c r="J45" s="12" t="n">
        <v>0.5455</v>
      </c>
      <c r="K45" s="16" t="s">
        <v>12</v>
      </c>
      <c r="L45" s="10" t="s">
        <v>289</v>
      </c>
      <c r="M45" s="9" t="s">
        <v>480</v>
      </c>
      <c r="N45" s="10" t="s">
        <v>481</v>
      </c>
      <c r="O45" s="9" t="s">
        <v>482</v>
      </c>
      <c r="P45" s="11" t="n">
        <v>1461</v>
      </c>
      <c r="Q45" s="9" t="s">
        <v>483</v>
      </c>
      <c r="R45" s="10" t="s">
        <v>484</v>
      </c>
      <c r="S45" s="9" t="s">
        <v>485</v>
      </c>
      <c r="T45" s="11" t="n">
        <v>465</v>
      </c>
      <c r="U45" s="9" t="n">
        <f aca="false">IF(ISNUMBER(H45),IF(H45&gt;=100*C45,1,0),0)+IF(ISNUMBER(P45),IF(P45&gt;=100*C45,1,0),0)+IF(ISNUMBER(T45),IF(T45&gt;=100*C45,1,0),0)</f>
        <v>3</v>
      </c>
    </row>
    <row r="46" customFormat="false" ht="15" hidden="false" customHeight="false" outlineLevel="0" collapsed="false">
      <c r="A46" s="9" t="n">
        <v>34</v>
      </c>
      <c r="B46" s="10" t="s">
        <v>486</v>
      </c>
      <c r="C46" s="9" t="n">
        <v>1</v>
      </c>
      <c r="D46" s="10" t="s">
        <v>487</v>
      </c>
      <c r="E46" s="9" t="s">
        <v>488</v>
      </c>
      <c r="F46" s="9" t="s">
        <v>265</v>
      </c>
      <c r="G46" s="9" t="s">
        <v>489</v>
      </c>
      <c r="H46" s="11" t="n">
        <v>938050</v>
      </c>
      <c r="I46" s="11" t="n">
        <f aca="false">IF(ISNUMBER(H46),INT(H46/C46),0)</f>
        <v>938050</v>
      </c>
      <c r="J46" s="12" t="n">
        <v>0.0086</v>
      </c>
      <c r="K46" s="16" t="s">
        <v>12</v>
      </c>
      <c r="L46" s="10" t="s">
        <v>289</v>
      </c>
      <c r="M46" s="9" t="s">
        <v>490</v>
      </c>
      <c r="N46" s="10" t="s">
        <v>491</v>
      </c>
      <c r="O46" s="9" t="s">
        <v>492</v>
      </c>
      <c r="P46" s="11" t="n">
        <v>114520</v>
      </c>
      <c r="Q46" s="9" t="s">
        <v>493</v>
      </c>
      <c r="R46" s="10" t="s">
        <v>494</v>
      </c>
      <c r="S46" s="9" t="s">
        <v>495</v>
      </c>
      <c r="T46" s="11" t="n">
        <v>5280</v>
      </c>
      <c r="U46" s="9" t="n">
        <f aca="false">IF(ISNUMBER(H46),IF(H46&gt;=100*C46,1,0),0)+IF(ISNUMBER(P46),IF(P46&gt;=100*C46,1,0),0)+IF(ISNUMBER(T46),IF(T46&gt;=100*C46,1,0),0)</f>
        <v>3</v>
      </c>
    </row>
    <row r="47" customFormat="false" ht="15" hidden="false" customHeight="false" outlineLevel="0" collapsed="false">
      <c r="A47" s="9" t="n">
        <v>35</v>
      </c>
      <c r="B47" s="10" t="s">
        <v>496</v>
      </c>
      <c r="C47" s="9" t="n">
        <v>1</v>
      </c>
      <c r="D47" s="10" t="s">
        <v>497</v>
      </c>
      <c r="E47" s="9" t="s">
        <v>497</v>
      </c>
      <c r="F47" s="9" t="s">
        <v>498</v>
      </c>
      <c r="G47" s="9" t="s">
        <v>499</v>
      </c>
      <c r="H47" s="11" t="n">
        <v>1919050</v>
      </c>
      <c r="I47" s="11" t="n">
        <f aca="false">IF(ISNUMBER(H47),INT(H47/C47),0)</f>
        <v>1919050</v>
      </c>
      <c r="J47" s="12" t="n">
        <v>0.0105</v>
      </c>
      <c r="K47" s="16" t="s">
        <v>12</v>
      </c>
      <c r="L47" s="10" t="s">
        <v>289</v>
      </c>
      <c r="M47" s="9" t="s">
        <v>500</v>
      </c>
      <c r="N47" s="10" t="s">
        <v>501</v>
      </c>
      <c r="O47" s="9" t="s">
        <v>502</v>
      </c>
      <c r="P47" s="11" t="n">
        <v>150960</v>
      </c>
      <c r="Q47" s="9" t="s">
        <v>503</v>
      </c>
      <c r="R47" s="10" t="s">
        <v>504</v>
      </c>
      <c r="S47" s="9" t="s">
        <v>505</v>
      </c>
      <c r="T47" s="11" t="n">
        <v>156800</v>
      </c>
      <c r="U47" s="9" t="n">
        <f aca="false">IF(ISNUMBER(H47),IF(H47&gt;=100*C47,1,0),0)+IF(ISNUMBER(P47),IF(P47&gt;=100*C47,1,0),0)+IF(ISNUMBER(T47),IF(T47&gt;=100*C47,1,0),0)</f>
        <v>3</v>
      </c>
    </row>
    <row r="48" customFormat="false" ht="15" hidden="false" customHeight="false" outlineLevel="0" collapsed="false">
      <c r="A48" s="9" t="n">
        <v>37</v>
      </c>
      <c r="B48" s="10" t="s">
        <v>506</v>
      </c>
      <c r="C48" s="9" t="n">
        <v>1</v>
      </c>
      <c r="D48" s="10" t="s">
        <v>507</v>
      </c>
      <c r="E48" s="9" t="s">
        <v>508</v>
      </c>
      <c r="F48" s="9" t="s">
        <v>509</v>
      </c>
      <c r="G48" s="9" t="s">
        <v>510</v>
      </c>
      <c r="H48" s="11" t="n">
        <v>771700</v>
      </c>
      <c r="I48" s="11" t="n">
        <f aca="false">IF(ISNUMBER(H48),INT(H48/C48),0)</f>
        <v>771700</v>
      </c>
      <c r="J48" s="12" t="n">
        <v>0.0022</v>
      </c>
      <c r="K48" s="16" t="s">
        <v>12</v>
      </c>
      <c r="L48" s="10" t="s">
        <v>289</v>
      </c>
      <c r="M48" s="9" t="s">
        <v>511</v>
      </c>
      <c r="N48" s="10" t="s">
        <v>512</v>
      </c>
      <c r="O48" s="9" t="s">
        <v>513</v>
      </c>
      <c r="P48" s="11" t="n">
        <v>372600</v>
      </c>
      <c r="Q48" s="9" t="s">
        <v>514</v>
      </c>
      <c r="R48" s="10" t="s">
        <v>515</v>
      </c>
      <c r="S48" s="9" t="s">
        <v>516</v>
      </c>
      <c r="T48" s="11" t="n">
        <v>296200</v>
      </c>
      <c r="U48" s="9" t="n">
        <f aca="false">IF(ISNUMBER(H48),IF(H48&gt;=100*C48,1,0),0)+IF(ISNUMBER(P48),IF(P48&gt;=100*C48,1,0),0)+IF(ISNUMBER(T48),IF(T48&gt;=100*C48,1,0),0)</f>
        <v>3</v>
      </c>
    </row>
    <row r="49" customFormat="false" ht="15" hidden="false" customHeight="false" outlineLevel="0" collapsed="false">
      <c r="A49" s="9" t="n">
        <v>38</v>
      </c>
      <c r="B49" s="10" t="s">
        <v>517</v>
      </c>
      <c r="C49" s="9" t="n">
        <v>6</v>
      </c>
      <c r="D49" s="10" t="s">
        <v>518</v>
      </c>
      <c r="E49" s="9" t="s">
        <v>519</v>
      </c>
      <c r="F49" s="9" t="s">
        <v>137</v>
      </c>
      <c r="G49" s="9" t="s">
        <v>520</v>
      </c>
      <c r="H49" s="11" t="n">
        <v>20900</v>
      </c>
      <c r="I49" s="11" t="n">
        <f aca="false">IF(ISNUMBER(H49),INT(H49/C49),0)</f>
        <v>3483</v>
      </c>
      <c r="J49" s="12" t="n">
        <v>0.0014</v>
      </c>
      <c r="K49" s="16" t="s">
        <v>12</v>
      </c>
      <c r="L49" s="10" t="s">
        <v>289</v>
      </c>
      <c r="M49" s="9" t="s">
        <v>521</v>
      </c>
      <c r="N49" s="10" t="s">
        <v>522</v>
      </c>
      <c r="O49" s="9" t="s">
        <v>523</v>
      </c>
      <c r="P49" s="11" t="n">
        <v>4914100</v>
      </c>
      <c r="Q49" s="9" t="s">
        <v>524</v>
      </c>
      <c r="R49" s="10" t="s">
        <v>525</v>
      </c>
      <c r="S49" s="9" t="s">
        <v>526</v>
      </c>
      <c r="T49" s="11" t="n">
        <v>8600</v>
      </c>
      <c r="U49" s="9" t="n">
        <f aca="false">IF(ISNUMBER(H49),IF(H49&gt;=100*C49,1,0),0)+IF(ISNUMBER(P49),IF(P49&gt;=100*C49,1,0),0)+IF(ISNUMBER(T49),IF(T49&gt;=100*C49,1,0),0)</f>
        <v>3</v>
      </c>
    </row>
    <row r="50" customFormat="false" ht="15" hidden="false" customHeight="false" outlineLevel="0" collapsed="false">
      <c r="A50" s="9" t="n">
        <v>40</v>
      </c>
      <c r="B50" s="10" t="s">
        <v>527</v>
      </c>
      <c r="C50" s="9" t="n">
        <v>3</v>
      </c>
      <c r="D50" s="10" t="s">
        <v>528</v>
      </c>
      <c r="E50" s="9" t="s">
        <v>529</v>
      </c>
      <c r="F50" s="9" t="s">
        <v>137</v>
      </c>
      <c r="G50" s="9" t="s">
        <v>530</v>
      </c>
      <c r="H50" s="11" t="n">
        <v>13600</v>
      </c>
      <c r="I50" s="11" t="n">
        <f aca="false">IF(ISNUMBER(H50),INT(H50/C50),0)</f>
        <v>4533</v>
      </c>
      <c r="J50" s="12" t="n">
        <v>0.0016</v>
      </c>
      <c r="K50" s="16" t="s">
        <v>12</v>
      </c>
      <c r="L50" s="10" t="s">
        <v>289</v>
      </c>
      <c r="M50" s="9" t="s">
        <v>531</v>
      </c>
      <c r="N50" s="10" t="s">
        <v>532</v>
      </c>
      <c r="O50" s="9" t="s">
        <v>533</v>
      </c>
      <c r="P50" s="11" t="n">
        <v>1195200</v>
      </c>
      <c r="Q50" s="9" t="s">
        <v>534</v>
      </c>
      <c r="R50" s="10" t="s">
        <v>535</v>
      </c>
      <c r="S50" s="9" t="s">
        <v>536</v>
      </c>
      <c r="T50" s="11" t="n">
        <v>728300</v>
      </c>
      <c r="U50" s="9" t="n">
        <f aca="false">IF(ISNUMBER(H50),IF(H50&gt;=100*C50,1,0),0)+IF(ISNUMBER(P50),IF(P50&gt;=100*C50,1,0),0)+IF(ISNUMBER(T50),IF(T50&gt;=100*C50,1,0),0)</f>
        <v>3</v>
      </c>
    </row>
    <row r="51" customFormat="false" ht="15" hidden="false" customHeight="false" outlineLevel="0" collapsed="false">
      <c r="A51" s="9" t="n">
        <v>41</v>
      </c>
      <c r="B51" s="10" t="s">
        <v>537</v>
      </c>
      <c r="C51" s="9" t="n">
        <v>2</v>
      </c>
      <c r="D51" s="10" t="s">
        <v>538</v>
      </c>
      <c r="E51" s="9" t="s">
        <v>539</v>
      </c>
      <c r="F51" s="9" t="s">
        <v>137</v>
      </c>
      <c r="G51" s="9" t="s">
        <v>540</v>
      </c>
      <c r="H51" s="11" t="n">
        <v>1071900</v>
      </c>
      <c r="I51" s="11" t="n">
        <f aca="false">IF(ISNUMBER(H51),INT(H51/C51),0)</f>
        <v>535950</v>
      </c>
      <c r="J51" s="12" t="n">
        <v>0.0005</v>
      </c>
      <c r="K51" s="16" t="s">
        <v>12</v>
      </c>
      <c r="L51" s="10" t="s">
        <v>289</v>
      </c>
      <c r="M51" s="9" t="s">
        <v>541</v>
      </c>
      <c r="N51" s="10" t="s">
        <v>542</v>
      </c>
      <c r="O51" s="9" t="s">
        <v>543</v>
      </c>
      <c r="P51" s="11" t="n">
        <v>1482500</v>
      </c>
      <c r="Q51" s="9" t="s">
        <v>544</v>
      </c>
      <c r="R51" s="10" t="s">
        <v>545</v>
      </c>
      <c r="S51" s="9" t="s">
        <v>546</v>
      </c>
      <c r="T51" s="11" t="n">
        <v>2074900</v>
      </c>
      <c r="U51" s="9" t="n">
        <f aca="false">IF(ISNUMBER(H51),IF(H51&gt;=100*C51,1,0),0)+IF(ISNUMBER(P51),IF(P51&gt;=100*C51,1,0),0)+IF(ISNUMBER(T51),IF(T51&gt;=100*C51,1,0),0)</f>
        <v>3</v>
      </c>
    </row>
    <row r="52" customFormat="false" ht="15" hidden="false" customHeight="false" outlineLevel="0" collapsed="false">
      <c r="A52" s="9" t="n">
        <v>42</v>
      </c>
      <c r="B52" s="10" t="s">
        <v>547</v>
      </c>
      <c r="C52" s="9" t="n">
        <v>2</v>
      </c>
      <c r="D52" s="10" t="s">
        <v>548</v>
      </c>
      <c r="E52" s="9" t="s">
        <v>549</v>
      </c>
      <c r="F52" s="9" t="s">
        <v>154</v>
      </c>
      <c r="G52" s="9" t="s">
        <v>550</v>
      </c>
      <c r="H52" s="11" t="n">
        <v>1098200</v>
      </c>
      <c r="I52" s="11" t="n">
        <f aca="false">IF(ISNUMBER(H52),INT(H52/C52),0)</f>
        <v>549100</v>
      </c>
      <c r="J52" s="12" t="n">
        <v>0.0218</v>
      </c>
      <c r="K52" s="16" t="s">
        <v>12</v>
      </c>
      <c r="L52" s="10" t="s">
        <v>289</v>
      </c>
      <c r="M52" s="9" t="s">
        <v>551</v>
      </c>
      <c r="N52" s="10" t="s">
        <v>552</v>
      </c>
      <c r="O52" s="9" t="s">
        <v>553</v>
      </c>
      <c r="P52" s="11" t="n">
        <v>46265</v>
      </c>
      <c r="Q52" s="9" t="s">
        <v>554</v>
      </c>
      <c r="R52" s="10" t="s">
        <v>555</v>
      </c>
      <c r="S52" s="9" t="s">
        <v>556</v>
      </c>
      <c r="T52" s="11" t="n">
        <v>540</v>
      </c>
      <c r="U52" s="9" t="n">
        <f aca="false">IF(ISNUMBER(H52),IF(H52&gt;=100*C52,1,0),0)+IF(ISNUMBER(P52),IF(P52&gt;=100*C52,1,0),0)+IF(ISNUMBER(T52),IF(T52&gt;=100*C52,1,0),0)</f>
        <v>3</v>
      </c>
    </row>
    <row r="53" customFormat="false" ht="15" hidden="false" customHeight="false" outlineLevel="0" collapsed="false">
      <c r="A53" s="9" t="n">
        <v>43</v>
      </c>
      <c r="B53" s="10" t="s">
        <v>557</v>
      </c>
      <c r="C53" s="9" t="n">
        <v>2</v>
      </c>
      <c r="D53" s="10" t="s">
        <v>558</v>
      </c>
      <c r="E53" s="9" t="s">
        <v>559</v>
      </c>
      <c r="F53" s="9" t="s">
        <v>560</v>
      </c>
      <c r="G53" s="9" t="s">
        <v>561</v>
      </c>
      <c r="H53" s="11" t="n">
        <v>6975</v>
      </c>
      <c r="I53" s="11" t="n">
        <f aca="false">IF(ISNUMBER(H53),INT(H53/C53),0)</f>
        <v>3487</v>
      </c>
      <c r="J53" s="12" t="n">
        <v>0.0947</v>
      </c>
      <c r="K53" s="16" t="s">
        <v>12</v>
      </c>
      <c r="L53" s="10" t="s">
        <v>289</v>
      </c>
      <c r="M53" s="9" t="s">
        <v>562</v>
      </c>
      <c r="N53" s="10" t="s">
        <v>563</v>
      </c>
      <c r="O53" s="9" t="s">
        <v>564</v>
      </c>
      <c r="P53" s="11" t="n">
        <v>15760</v>
      </c>
      <c r="Q53" s="9" t="s">
        <v>565</v>
      </c>
      <c r="R53" s="10" t="s">
        <v>566</v>
      </c>
      <c r="S53" s="9" t="s">
        <v>567</v>
      </c>
      <c r="T53" s="11" t="n">
        <v>7905</v>
      </c>
      <c r="U53" s="9" t="n">
        <f aca="false">IF(ISNUMBER(H53),IF(H53&gt;=100*C53,1,0),0)+IF(ISNUMBER(P53),IF(P53&gt;=100*C53,1,0),0)+IF(ISNUMBER(T53),IF(T53&gt;=100*C53,1,0),0)</f>
        <v>3</v>
      </c>
    </row>
    <row r="54" customFormat="false" ht="15" hidden="false" customHeight="false" outlineLevel="0" collapsed="false">
      <c r="A54" s="9" t="n">
        <v>44</v>
      </c>
      <c r="B54" s="10" t="s">
        <v>568</v>
      </c>
      <c r="C54" s="9" t="n">
        <v>2</v>
      </c>
      <c r="D54" s="10" t="s">
        <v>569</v>
      </c>
      <c r="E54" s="9" t="s">
        <v>570</v>
      </c>
      <c r="F54" s="9" t="s">
        <v>560</v>
      </c>
      <c r="G54" s="9" t="s">
        <v>571</v>
      </c>
      <c r="H54" s="11" t="n">
        <v>8110</v>
      </c>
      <c r="I54" s="11" t="n">
        <f aca="false">IF(ISNUMBER(H54),INT(H54/C54),0)</f>
        <v>4055</v>
      </c>
      <c r="J54" s="12" t="n">
        <v>0.1296</v>
      </c>
      <c r="K54" s="16" t="s">
        <v>12</v>
      </c>
      <c r="L54" s="10" t="s">
        <v>289</v>
      </c>
      <c r="M54" s="9" t="s">
        <v>572</v>
      </c>
      <c r="N54" s="10" t="s">
        <v>573</v>
      </c>
      <c r="O54" s="9" t="s">
        <v>574</v>
      </c>
      <c r="P54" s="11" t="n">
        <v>293450</v>
      </c>
      <c r="Q54" s="9" t="s">
        <v>575</v>
      </c>
      <c r="R54" s="10" t="s">
        <v>576</v>
      </c>
      <c r="S54" s="9" t="s">
        <v>577</v>
      </c>
      <c r="T54" s="11" t="n">
        <v>26950</v>
      </c>
      <c r="U54" s="9" t="n">
        <f aca="false">IF(ISNUMBER(H54),IF(H54&gt;=100*C54,1,0),0)+IF(ISNUMBER(P54),IF(P54&gt;=100*C54,1,0),0)+IF(ISNUMBER(T54),IF(T54&gt;=100*C54,1,0),0)</f>
        <v>3</v>
      </c>
    </row>
    <row r="55" customFormat="false" ht="15" hidden="false" customHeight="false" outlineLevel="0" collapsed="false">
      <c r="A55" s="9" t="n">
        <v>45</v>
      </c>
      <c r="B55" s="10" t="s">
        <v>578</v>
      </c>
      <c r="C55" s="9" t="n">
        <v>1</v>
      </c>
      <c r="D55" s="10" t="s">
        <v>579</v>
      </c>
      <c r="E55" s="9" t="s">
        <v>580</v>
      </c>
      <c r="F55" s="9" t="s">
        <v>137</v>
      </c>
      <c r="G55" s="9" t="s">
        <v>581</v>
      </c>
      <c r="H55" s="11" t="n">
        <v>3045000</v>
      </c>
      <c r="I55" s="11" t="n">
        <f aca="false">IF(ISNUMBER(H55),INT(H55/C55),0)</f>
        <v>3045000</v>
      </c>
      <c r="J55" s="12" t="n">
        <v>0.0008</v>
      </c>
      <c r="K55" s="16" t="s">
        <v>12</v>
      </c>
      <c r="L55" s="10" t="s">
        <v>289</v>
      </c>
      <c r="M55" s="9" t="s">
        <v>582</v>
      </c>
      <c r="N55" s="10" t="s">
        <v>583</v>
      </c>
      <c r="O55" s="9" t="s">
        <v>584</v>
      </c>
      <c r="P55" s="11" t="n">
        <v>8387000</v>
      </c>
      <c r="Q55" s="9" t="s">
        <v>585</v>
      </c>
      <c r="R55" s="10" t="s">
        <v>586</v>
      </c>
      <c r="S55" s="9" t="s">
        <v>587</v>
      </c>
      <c r="T55" s="11" t="n">
        <v>7638200</v>
      </c>
      <c r="U55" s="9" t="n">
        <f aca="false">IF(ISNUMBER(H55),IF(H55&gt;=100*C55,1,0),0)+IF(ISNUMBER(P55),IF(P55&gt;=100*C55,1,0),0)+IF(ISNUMBER(T55),IF(T55&gt;=100*C55,1,0),0)</f>
        <v>3</v>
      </c>
    </row>
    <row r="56" customFormat="false" ht="32.8" hidden="false" customHeight="false" outlineLevel="0" collapsed="false">
      <c r="A56" s="9" t="n">
        <v>46</v>
      </c>
      <c r="B56" s="10" t="s">
        <v>588</v>
      </c>
      <c r="C56" s="9" t="n">
        <v>14</v>
      </c>
      <c r="D56" s="10" t="s">
        <v>589</v>
      </c>
      <c r="E56" s="9" t="s">
        <v>590</v>
      </c>
      <c r="F56" s="9" t="s">
        <v>137</v>
      </c>
      <c r="G56" s="9" t="s">
        <v>591</v>
      </c>
      <c r="H56" s="11" t="n">
        <v>8909200</v>
      </c>
      <c r="I56" s="11" t="n">
        <f aca="false">IF(ISNUMBER(H56),INT(H56/C56),0)</f>
        <v>636371</v>
      </c>
      <c r="J56" s="12" t="n">
        <v>0.0008</v>
      </c>
      <c r="K56" s="16" t="s">
        <v>12</v>
      </c>
      <c r="L56" s="10" t="s">
        <v>289</v>
      </c>
      <c r="M56" s="9" t="s">
        <v>592</v>
      </c>
      <c r="N56" s="10" t="s">
        <v>593</v>
      </c>
      <c r="O56" s="9" t="s">
        <v>594</v>
      </c>
      <c r="P56" s="11" t="n">
        <v>14359800</v>
      </c>
      <c r="Q56" s="9" t="s">
        <v>595</v>
      </c>
      <c r="R56" s="10" t="s">
        <v>596</v>
      </c>
      <c r="S56" s="9" t="s">
        <v>597</v>
      </c>
      <c r="T56" s="11" t="n">
        <v>209800</v>
      </c>
      <c r="U56" s="9" t="n">
        <f aca="false">IF(ISNUMBER(H56),IF(H56&gt;=100*C56,1,0),0)+IF(ISNUMBER(P56),IF(P56&gt;=100*C56,1,0),0)+IF(ISNUMBER(T56),IF(T56&gt;=100*C56,1,0),0)</f>
        <v>3</v>
      </c>
    </row>
    <row r="57" customFormat="false" ht="22.35" hidden="false" customHeight="false" outlineLevel="0" collapsed="false">
      <c r="A57" s="9" t="n">
        <v>47</v>
      </c>
      <c r="B57" s="10" t="s">
        <v>598</v>
      </c>
      <c r="C57" s="9" t="n">
        <v>2</v>
      </c>
      <c r="D57" s="10" t="s">
        <v>599</v>
      </c>
      <c r="E57" s="9" t="s">
        <v>600</v>
      </c>
      <c r="F57" s="9" t="s">
        <v>509</v>
      </c>
      <c r="G57" s="9" t="s">
        <v>601</v>
      </c>
      <c r="H57" s="11" t="n">
        <v>423800</v>
      </c>
      <c r="I57" s="11" t="n">
        <f aca="false">IF(ISNUMBER(H57),INT(H57/C57),0)</f>
        <v>211900</v>
      </c>
      <c r="J57" s="12" t="n">
        <v>0.001</v>
      </c>
      <c r="K57" s="16" t="s">
        <v>12</v>
      </c>
      <c r="L57" s="10" t="s">
        <v>602</v>
      </c>
      <c r="M57" s="9" t="s">
        <v>603</v>
      </c>
      <c r="N57" s="10" t="s">
        <v>604</v>
      </c>
      <c r="O57" s="9" t="s">
        <v>605</v>
      </c>
      <c r="P57" s="11" t="n">
        <v>191800</v>
      </c>
      <c r="Q57" s="9"/>
      <c r="R57" s="10" t="s">
        <v>208</v>
      </c>
      <c r="S57" s="9"/>
      <c r="T57" s="11"/>
      <c r="U57" s="9" t="n">
        <f aca="false">IF(ISNUMBER(H57),IF(H57&gt;=100*C57,1,0),0)+IF(ISNUMBER(P57),IF(P57&gt;=100*C57,1,0),0)+IF(ISNUMBER(T57),IF(T57&gt;=100*C57,1,0),0)</f>
        <v>2</v>
      </c>
    </row>
    <row r="58" customFormat="false" ht="15" hidden="false" customHeight="false" outlineLevel="0" collapsed="false">
      <c r="A58" s="9" t="n">
        <v>49</v>
      </c>
      <c r="B58" s="10" t="s">
        <v>606</v>
      </c>
      <c r="C58" s="9" t="n">
        <v>1</v>
      </c>
      <c r="D58" s="10" t="s">
        <v>607</v>
      </c>
      <c r="E58" s="9" t="s">
        <v>608</v>
      </c>
      <c r="F58" s="9" t="s">
        <v>137</v>
      </c>
      <c r="G58" s="9" t="s">
        <v>609</v>
      </c>
      <c r="H58" s="11" t="n">
        <v>655300</v>
      </c>
      <c r="I58" s="11" t="n">
        <f aca="false">IF(ISNUMBER(H58),INT(H58/C58),0)</f>
        <v>655300</v>
      </c>
      <c r="J58" s="12" t="n">
        <v>0.0014</v>
      </c>
      <c r="K58" s="16" t="s">
        <v>12</v>
      </c>
      <c r="L58" s="10" t="s">
        <v>289</v>
      </c>
      <c r="M58" s="9" t="s">
        <v>610</v>
      </c>
      <c r="N58" s="10" t="s">
        <v>611</v>
      </c>
      <c r="O58" s="9" t="s">
        <v>612</v>
      </c>
      <c r="P58" s="11" t="n">
        <v>272700</v>
      </c>
      <c r="Q58" s="9" t="s">
        <v>613</v>
      </c>
      <c r="R58" s="10" t="s">
        <v>614</v>
      </c>
      <c r="S58" s="9" t="s">
        <v>615</v>
      </c>
      <c r="T58" s="11" t="n">
        <v>2245400</v>
      </c>
      <c r="U58" s="9" t="n">
        <f aca="false">IF(ISNUMBER(H58),IF(H58&gt;=100*C58,1,0),0)+IF(ISNUMBER(P58),IF(P58&gt;=100*C58,1,0),0)+IF(ISNUMBER(T58),IF(T58&gt;=100*C58,1,0),0)</f>
        <v>3</v>
      </c>
    </row>
    <row r="59" customFormat="false" ht="15" hidden="false" customHeight="false" outlineLevel="0" collapsed="false">
      <c r="A59" s="9" t="n">
        <v>50</v>
      </c>
      <c r="B59" s="10" t="s">
        <v>616</v>
      </c>
      <c r="C59" s="9" t="n">
        <v>1</v>
      </c>
      <c r="D59" s="10" t="s">
        <v>617</v>
      </c>
      <c r="E59" s="9" t="s">
        <v>618</v>
      </c>
      <c r="F59" s="9" t="s">
        <v>137</v>
      </c>
      <c r="G59" s="9" t="s">
        <v>619</v>
      </c>
      <c r="H59" s="11" t="n">
        <v>2300</v>
      </c>
      <c r="I59" s="11" t="n">
        <f aca="false">IF(ISNUMBER(H59),INT(H59/C59),0)</f>
        <v>2300</v>
      </c>
      <c r="J59" s="12" t="n">
        <v>0.0011</v>
      </c>
      <c r="K59" s="16" t="s">
        <v>12</v>
      </c>
      <c r="L59" s="10" t="s">
        <v>289</v>
      </c>
      <c r="M59" s="9" t="s">
        <v>620</v>
      </c>
      <c r="N59" s="10" t="s">
        <v>621</v>
      </c>
      <c r="O59" s="9" t="s">
        <v>622</v>
      </c>
      <c r="P59" s="11" t="n">
        <v>473100</v>
      </c>
      <c r="Q59" s="9" t="s">
        <v>623</v>
      </c>
      <c r="R59" s="10" t="s">
        <v>624</v>
      </c>
      <c r="S59" s="9" t="s">
        <v>625</v>
      </c>
      <c r="T59" s="11" t="n">
        <v>1801400</v>
      </c>
      <c r="U59" s="9" t="n">
        <f aca="false">IF(ISNUMBER(H59),IF(H59&gt;=100*C59,1,0),0)+IF(ISNUMBER(P59),IF(P59&gt;=100*C59,1,0),0)+IF(ISNUMBER(T59),IF(T59&gt;=100*C59,1,0),0)</f>
        <v>3</v>
      </c>
    </row>
    <row r="60" customFormat="false" ht="15" hidden="false" customHeight="false" outlineLevel="0" collapsed="false">
      <c r="A60" s="9" t="n">
        <v>51</v>
      </c>
      <c r="B60" s="10" t="s">
        <v>626</v>
      </c>
      <c r="C60" s="9" t="n">
        <v>1</v>
      </c>
      <c r="D60" s="10" t="s">
        <v>627</v>
      </c>
      <c r="E60" s="9" t="s">
        <v>628</v>
      </c>
      <c r="F60" s="9" t="s">
        <v>137</v>
      </c>
      <c r="G60" s="9" t="s">
        <v>629</v>
      </c>
      <c r="H60" s="11" t="n">
        <v>390700</v>
      </c>
      <c r="I60" s="11" t="n">
        <f aca="false">IF(ISNUMBER(H60),INT(H60/C60),0)</f>
        <v>390700</v>
      </c>
      <c r="J60" s="12" t="n">
        <v>0.0006</v>
      </c>
      <c r="K60" s="16" t="s">
        <v>12</v>
      </c>
      <c r="L60" s="10" t="s">
        <v>289</v>
      </c>
      <c r="M60" s="9" t="s">
        <v>630</v>
      </c>
      <c r="N60" s="10" t="s">
        <v>631</v>
      </c>
      <c r="O60" s="9" t="s">
        <v>632</v>
      </c>
      <c r="P60" s="11" t="n">
        <v>1326500</v>
      </c>
      <c r="Q60" s="9" t="s">
        <v>633</v>
      </c>
      <c r="R60" s="10" t="s">
        <v>634</v>
      </c>
      <c r="S60" s="9" t="s">
        <v>635</v>
      </c>
      <c r="T60" s="11" t="n">
        <v>1322500</v>
      </c>
      <c r="U60" s="9" t="n">
        <f aca="false">IF(ISNUMBER(H60),IF(H60&gt;=100*C60,1,0),0)+IF(ISNUMBER(P60),IF(P60&gt;=100*C60,1,0),0)+IF(ISNUMBER(T60),IF(T60&gt;=100*C60,1,0),0)</f>
        <v>3</v>
      </c>
    </row>
    <row r="61" customFormat="false" ht="15" hidden="false" customHeight="false" outlineLevel="0" collapsed="false">
      <c r="A61" s="9" t="n">
        <v>54</v>
      </c>
      <c r="B61" s="10" t="s">
        <v>636</v>
      </c>
      <c r="C61" s="9" t="n">
        <v>1</v>
      </c>
      <c r="D61" s="10" t="s">
        <v>637</v>
      </c>
      <c r="E61" s="9" t="s">
        <v>638</v>
      </c>
      <c r="F61" s="9" t="s">
        <v>137</v>
      </c>
      <c r="G61" s="9" t="s">
        <v>639</v>
      </c>
      <c r="H61" s="11" t="n">
        <v>5900</v>
      </c>
      <c r="I61" s="11" t="n">
        <f aca="false">IF(ISNUMBER(H61),INT(H61/C61),0)</f>
        <v>5900</v>
      </c>
      <c r="J61" s="12" t="n">
        <v>0.0005</v>
      </c>
      <c r="K61" s="16" t="s">
        <v>12</v>
      </c>
      <c r="L61" s="10" t="s">
        <v>289</v>
      </c>
      <c r="M61" s="9" t="s">
        <v>640</v>
      </c>
      <c r="N61" s="10" t="s">
        <v>641</v>
      </c>
      <c r="O61" s="9" t="s">
        <v>642</v>
      </c>
      <c r="P61" s="11" t="n">
        <v>115100</v>
      </c>
      <c r="Q61" s="9" t="s">
        <v>643</v>
      </c>
      <c r="R61" s="10" t="s">
        <v>644</v>
      </c>
      <c r="S61" s="9" t="s">
        <v>645</v>
      </c>
      <c r="T61" s="11" t="n">
        <v>349600</v>
      </c>
      <c r="U61" s="9" t="n">
        <f aca="false">IF(ISNUMBER(H61),IF(H61&gt;=100*C61,1,0),0)+IF(ISNUMBER(P61),IF(P61&gt;=100*C61,1,0),0)+IF(ISNUMBER(T61),IF(T61&gt;=100*C61,1,0),0)</f>
        <v>3</v>
      </c>
    </row>
    <row r="62" customFormat="false" ht="15" hidden="false" customHeight="false" outlineLevel="0" collapsed="false">
      <c r="A62" s="9" t="n">
        <v>56</v>
      </c>
      <c r="B62" s="10" t="s">
        <v>646</v>
      </c>
      <c r="C62" s="9" t="n">
        <v>1</v>
      </c>
      <c r="D62" s="10" t="s">
        <v>647</v>
      </c>
      <c r="E62" s="9" t="s">
        <v>648</v>
      </c>
      <c r="F62" s="9" t="s">
        <v>137</v>
      </c>
      <c r="G62" s="9" t="s">
        <v>649</v>
      </c>
      <c r="H62" s="11" t="n">
        <v>2245100</v>
      </c>
      <c r="I62" s="11" t="n">
        <f aca="false">IF(ISNUMBER(H62),INT(H62/C62),0)</f>
        <v>2245100</v>
      </c>
      <c r="J62" s="12" t="n">
        <v>0.0008</v>
      </c>
      <c r="K62" s="16" t="s">
        <v>12</v>
      </c>
      <c r="L62" s="10" t="s">
        <v>289</v>
      </c>
      <c r="M62" s="9" t="s">
        <v>650</v>
      </c>
      <c r="N62" s="10" t="s">
        <v>651</v>
      </c>
      <c r="O62" s="9" t="s">
        <v>652</v>
      </c>
      <c r="P62" s="11" t="n">
        <v>8076400</v>
      </c>
      <c r="Q62" s="9" t="s">
        <v>653</v>
      </c>
      <c r="R62" s="10" t="s">
        <v>654</v>
      </c>
      <c r="S62" s="9" t="s">
        <v>655</v>
      </c>
      <c r="T62" s="11" t="n">
        <v>4253800</v>
      </c>
      <c r="U62" s="9" t="n">
        <f aca="false">IF(ISNUMBER(H62),IF(H62&gt;=100*C62,1,0),0)+IF(ISNUMBER(P62),IF(P62&gt;=100*C62,1,0),0)+IF(ISNUMBER(T62),IF(T62&gt;=100*C62,1,0),0)</f>
        <v>3</v>
      </c>
    </row>
    <row r="63" customFormat="false" ht="15" hidden="false" customHeight="false" outlineLevel="0" collapsed="false">
      <c r="A63" s="9" t="n">
        <v>57</v>
      </c>
      <c r="B63" s="10" t="s">
        <v>656</v>
      </c>
      <c r="C63" s="9" t="n">
        <v>1</v>
      </c>
      <c r="D63" s="10" t="s">
        <v>657</v>
      </c>
      <c r="E63" s="9" t="s">
        <v>658</v>
      </c>
      <c r="F63" s="9" t="s">
        <v>154</v>
      </c>
      <c r="G63" s="9" t="s">
        <v>659</v>
      </c>
      <c r="H63" s="11" t="n">
        <v>4300</v>
      </c>
      <c r="I63" s="11" t="n">
        <f aca="false">IF(ISNUMBER(H63),INT(H63/C63),0)</f>
        <v>4300</v>
      </c>
      <c r="J63" s="12" t="n">
        <v>0.0031</v>
      </c>
      <c r="K63" s="16" t="s">
        <v>12</v>
      </c>
      <c r="L63" s="10" t="s">
        <v>289</v>
      </c>
      <c r="M63" s="9" t="s">
        <v>660</v>
      </c>
      <c r="N63" s="10" t="s">
        <v>661</v>
      </c>
      <c r="O63" s="9" t="s">
        <v>662</v>
      </c>
      <c r="P63" s="11" t="n">
        <v>108900</v>
      </c>
      <c r="Q63" s="9" t="s">
        <v>663</v>
      </c>
      <c r="R63" s="10" t="s">
        <v>664</v>
      </c>
      <c r="S63" s="9" t="s">
        <v>665</v>
      </c>
      <c r="T63" s="11" t="n">
        <v>48400</v>
      </c>
      <c r="U63" s="9" t="n">
        <f aca="false">IF(ISNUMBER(H63),IF(H63&gt;=100*C63,1,0),0)+IF(ISNUMBER(P63),IF(P63&gt;=100*C63,1,0),0)+IF(ISNUMBER(T63),IF(T63&gt;=100*C63,1,0),0)</f>
        <v>3</v>
      </c>
    </row>
    <row r="64" customFormat="false" ht="15" hidden="false" customHeight="false" outlineLevel="0" collapsed="false">
      <c r="A64" s="9" t="n">
        <v>58</v>
      </c>
      <c r="B64" s="10" t="s">
        <v>666</v>
      </c>
      <c r="C64" s="9" t="n">
        <v>1</v>
      </c>
      <c r="D64" s="10" t="s">
        <v>667</v>
      </c>
      <c r="E64" s="9" t="s">
        <v>668</v>
      </c>
      <c r="F64" s="9" t="s">
        <v>137</v>
      </c>
      <c r="G64" s="9" t="s">
        <v>669</v>
      </c>
      <c r="H64" s="11" t="n">
        <v>1142980</v>
      </c>
      <c r="I64" s="11" t="n">
        <f aca="false">IF(ISNUMBER(H64),INT(H64/C64),0)</f>
        <v>1142980</v>
      </c>
      <c r="J64" s="12" t="n">
        <v>0.0017</v>
      </c>
      <c r="K64" s="16" t="s">
        <v>12</v>
      </c>
      <c r="L64" s="10" t="s">
        <v>289</v>
      </c>
      <c r="M64" s="9" t="s">
        <v>670</v>
      </c>
      <c r="N64" s="10" t="s">
        <v>671</v>
      </c>
      <c r="O64" s="9" t="s">
        <v>672</v>
      </c>
      <c r="P64" s="11" t="n">
        <v>5228200</v>
      </c>
      <c r="Q64" s="9" t="s">
        <v>673</v>
      </c>
      <c r="R64" s="10" t="s">
        <v>674</v>
      </c>
      <c r="S64" s="9" t="s">
        <v>675</v>
      </c>
      <c r="T64" s="11" t="n">
        <v>1939500</v>
      </c>
      <c r="U64" s="9" t="n">
        <f aca="false">IF(ISNUMBER(H64),IF(H64&gt;=100*C64,1,0),0)+IF(ISNUMBER(P64),IF(P64&gt;=100*C64,1,0),0)+IF(ISNUMBER(T64),IF(T64&gt;=100*C64,1,0),0)</f>
        <v>3</v>
      </c>
    </row>
    <row r="65" customFormat="false" ht="15" hidden="false" customHeight="false" outlineLevel="0" collapsed="false">
      <c r="A65" s="9" t="n">
        <v>59</v>
      </c>
      <c r="B65" s="10" t="s">
        <v>676</v>
      </c>
      <c r="C65" s="9" t="n">
        <v>1</v>
      </c>
      <c r="D65" s="10" t="s">
        <v>677</v>
      </c>
      <c r="E65" s="9" t="s">
        <v>678</v>
      </c>
      <c r="F65" s="9" t="s">
        <v>137</v>
      </c>
      <c r="G65" s="9" t="s">
        <v>679</v>
      </c>
      <c r="H65" s="11" t="n">
        <v>454700</v>
      </c>
      <c r="I65" s="11" t="n">
        <f aca="false">IF(ISNUMBER(H65),INT(H65/C65),0)</f>
        <v>454700</v>
      </c>
      <c r="J65" s="12" t="n">
        <v>0.0041</v>
      </c>
      <c r="K65" s="16" t="s">
        <v>12</v>
      </c>
      <c r="L65" s="10" t="s">
        <v>289</v>
      </c>
      <c r="M65" s="9" t="s">
        <v>680</v>
      </c>
      <c r="N65" s="10" t="s">
        <v>681</v>
      </c>
      <c r="O65" s="9" t="s">
        <v>682</v>
      </c>
      <c r="P65" s="11" t="n">
        <v>7000</v>
      </c>
      <c r="Q65" s="9" t="s">
        <v>683</v>
      </c>
      <c r="R65" s="10" t="s">
        <v>684</v>
      </c>
      <c r="S65" s="9" t="s">
        <v>685</v>
      </c>
      <c r="T65" s="11" t="n">
        <v>9680</v>
      </c>
      <c r="U65" s="9" t="n">
        <f aca="false">IF(ISNUMBER(H65),IF(H65&gt;=100*C65,1,0),0)+IF(ISNUMBER(P65),IF(P65&gt;=100*C65,1,0),0)+IF(ISNUMBER(T65),IF(T65&gt;=100*C65,1,0),0)</f>
        <v>3</v>
      </c>
    </row>
    <row r="66" customFormat="false" ht="15" hidden="false" customHeight="false" outlineLevel="0" collapsed="false">
      <c r="A66" s="9" t="n">
        <v>60</v>
      </c>
      <c r="B66" s="10" t="s">
        <v>686</v>
      </c>
      <c r="C66" s="9" t="n">
        <v>1</v>
      </c>
      <c r="D66" s="10" t="s">
        <v>687</v>
      </c>
      <c r="E66" s="9" t="s">
        <v>688</v>
      </c>
      <c r="F66" s="9" t="s">
        <v>137</v>
      </c>
      <c r="G66" s="9" t="s">
        <v>689</v>
      </c>
      <c r="H66" s="11" t="n">
        <v>2003100</v>
      </c>
      <c r="I66" s="11" t="n">
        <f aca="false">IF(ISNUMBER(H66),INT(H66/C66),0)</f>
        <v>2003100</v>
      </c>
      <c r="J66" s="12" t="n">
        <v>0.0037</v>
      </c>
      <c r="K66" s="16" t="s">
        <v>12</v>
      </c>
      <c r="L66" s="10" t="s">
        <v>289</v>
      </c>
      <c r="M66" s="9" t="s">
        <v>690</v>
      </c>
      <c r="N66" s="10" t="s">
        <v>691</v>
      </c>
      <c r="O66" s="9" t="s">
        <v>692</v>
      </c>
      <c r="P66" s="11" t="n">
        <v>47700</v>
      </c>
      <c r="Q66" s="9" t="s">
        <v>693</v>
      </c>
      <c r="R66" s="10" t="s">
        <v>694</v>
      </c>
      <c r="S66" s="9" t="s">
        <v>695</v>
      </c>
      <c r="T66" s="11" t="n">
        <v>5450</v>
      </c>
      <c r="U66" s="9" t="n">
        <f aca="false">IF(ISNUMBER(H66),IF(H66&gt;=100*C66,1,0),0)+IF(ISNUMBER(P66),IF(P66&gt;=100*C66,1,0),0)+IF(ISNUMBER(T66),IF(T66&gt;=100*C66,1,0),0)</f>
        <v>3</v>
      </c>
    </row>
    <row r="67" customFormat="false" ht="15" hidden="false" customHeight="false" outlineLevel="0" collapsed="false">
      <c r="A67" s="9" t="n">
        <v>61</v>
      </c>
      <c r="B67" s="10" t="s">
        <v>696</v>
      </c>
      <c r="C67" s="9" t="n">
        <v>1</v>
      </c>
      <c r="D67" s="10" t="s">
        <v>697</v>
      </c>
      <c r="E67" s="9" t="s">
        <v>698</v>
      </c>
      <c r="F67" s="9" t="s">
        <v>137</v>
      </c>
      <c r="G67" s="9" t="s">
        <v>699</v>
      </c>
      <c r="H67" s="11" t="n">
        <v>778200</v>
      </c>
      <c r="I67" s="11" t="n">
        <f aca="false">IF(ISNUMBER(H67),INT(H67/C67),0)</f>
        <v>778200</v>
      </c>
      <c r="J67" s="12" t="n">
        <v>0.0013</v>
      </c>
      <c r="K67" s="16" t="s">
        <v>12</v>
      </c>
      <c r="L67" s="10" t="s">
        <v>289</v>
      </c>
      <c r="M67" s="9" t="s">
        <v>700</v>
      </c>
      <c r="N67" s="10" t="s">
        <v>701</v>
      </c>
      <c r="O67" s="9" t="s">
        <v>702</v>
      </c>
      <c r="P67" s="11" t="n">
        <v>965400</v>
      </c>
      <c r="Q67" s="9" t="s">
        <v>703</v>
      </c>
      <c r="R67" s="10" t="s">
        <v>704</v>
      </c>
      <c r="S67" s="9" t="s">
        <v>705</v>
      </c>
      <c r="T67" s="11" t="n">
        <v>2177800</v>
      </c>
      <c r="U67" s="9" t="n">
        <f aca="false">IF(ISNUMBER(H67),IF(H67&gt;=100*C67,1,0),0)+IF(ISNUMBER(P67),IF(P67&gt;=100*C67,1,0),0)+IF(ISNUMBER(T67),IF(T67&gt;=100*C67,1,0),0)</f>
        <v>3</v>
      </c>
    </row>
    <row r="68" customFormat="false" ht="15" hidden="false" customHeight="false" outlineLevel="0" collapsed="false">
      <c r="A68" s="9" t="n">
        <v>62</v>
      </c>
      <c r="B68" s="10" t="s">
        <v>706</v>
      </c>
      <c r="C68" s="9" t="n">
        <v>1</v>
      </c>
      <c r="D68" s="10" t="s">
        <v>707</v>
      </c>
      <c r="E68" s="9" t="s">
        <v>708</v>
      </c>
      <c r="F68" s="9" t="s">
        <v>137</v>
      </c>
      <c r="G68" s="9" t="s">
        <v>709</v>
      </c>
      <c r="H68" s="11" t="n">
        <v>1408700</v>
      </c>
      <c r="I68" s="11" t="n">
        <f aca="false">IF(ISNUMBER(H68),INT(H68/C68),0)</f>
        <v>1408700</v>
      </c>
      <c r="J68" s="12" t="n">
        <v>0.0008</v>
      </c>
      <c r="K68" s="16" t="s">
        <v>12</v>
      </c>
      <c r="L68" s="10" t="s">
        <v>289</v>
      </c>
      <c r="M68" s="9" t="s">
        <v>710</v>
      </c>
      <c r="N68" s="10" t="s">
        <v>711</v>
      </c>
      <c r="O68" s="9" t="s">
        <v>712</v>
      </c>
      <c r="P68" s="11" t="n">
        <v>307000</v>
      </c>
      <c r="Q68" s="9" t="s">
        <v>713</v>
      </c>
      <c r="R68" s="10" t="s">
        <v>714</v>
      </c>
      <c r="S68" s="9" t="s">
        <v>715</v>
      </c>
      <c r="T68" s="11" t="n">
        <v>1724400</v>
      </c>
      <c r="U68" s="9" t="n">
        <f aca="false">IF(ISNUMBER(H68),IF(H68&gt;=100*C68,1,0),0)+IF(ISNUMBER(P68),IF(P68&gt;=100*C68,1,0),0)+IF(ISNUMBER(T68),IF(T68&gt;=100*C68,1,0),0)</f>
        <v>3</v>
      </c>
    </row>
    <row r="69" customFormat="false" ht="15" hidden="false" customHeight="false" outlineLevel="0" collapsed="false">
      <c r="A69" s="9" t="n">
        <v>63</v>
      </c>
      <c r="B69" s="10" t="s">
        <v>716</v>
      </c>
      <c r="C69" s="9" t="n">
        <v>1</v>
      </c>
      <c r="D69" s="10" t="s">
        <v>687</v>
      </c>
      <c r="E69" s="9" t="s">
        <v>717</v>
      </c>
      <c r="F69" s="9" t="s">
        <v>137</v>
      </c>
      <c r="G69" s="9" t="s">
        <v>718</v>
      </c>
      <c r="H69" s="11" t="n">
        <v>8383200</v>
      </c>
      <c r="I69" s="11" t="n">
        <f aca="false">IF(ISNUMBER(H69),INT(H69/C69),0)</f>
        <v>8383200</v>
      </c>
      <c r="J69" s="12" t="n">
        <v>0.0011</v>
      </c>
      <c r="K69" s="16" t="s">
        <v>12</v>
      </c>
      <c r="L69" s="10" t="s">
        <v>289</v>
      </c>
      <c r="M69" s="9" t="s">
        <v>719</v>
      </c>
      <c r="N69" s="10" t="s">
        <v>720</v>
      </c>
      <c r="O69" s="9" t="s">
        <v>721</v>
      </c>
      <c r="P69" s="11" t="n">
        <v>7531300</v>
      </c>
      <c r="Q69" s="9" t="s">
        <v>722</v>
      </c>
      <c r="R69" s="10" t="s">
        <v>723</v>
      </c>
      <c r="S69" s="9" t="s">
        <v>724</v>
      </c>
      <c r="T69" s="11" t="n">
        <v>89400</v>
      </c>
      <c r="U69" s="9" t="n">
        <f aca="false">IF(ISNUMBER(H69),IF(H69&gt;=100*C69,1,0),0)+IF(ISNUMBER(P69),IF(P69&gt;=100*C69,1,0),0)+IF(ISNUMBER(T69),IF(T69&gt;=100*C69,1,0),0)</f>
        <v>3</v>
      </c>
    </row>
    <row r="70" customFormat="false" ht="15" hidden="false" customHeight="false" outlineLevel="0" collapsed="false">
      <c r="A70" s="9" t="n">
        <v>65</v>
      </c>
      <c r="B70" s="10" t="s">
        <v>725</v>
      </c>
      <c r="C70" s="9" t="n">
        <v>1</v>
      </c>
      <c r="D70" s="10" t="s">
        <v>726</v>
      </c>
      <c r="E70" s="9" t="s">
        <v>727</v>
      </c>
      <c r="F70" s="9" t="s">
        <v>196</v>
      </c>
      <c r="G70" s="9" t="s">
        <v>728</v>
      </c>
      <c r="H70" s="11" t="n">
        <v>2140</v>
      </c>
      <c r="I70" s="11" t="n">
        <f aca="false">IF(ISNUMBER(H70),INT(H70/C70),0)</f>
        <v>2140</v>
      </c>
      <c r="J70" s="12" t="n">
        <v>0.0414</v>
      </c>
      <c r="K70" s="16" t="s">
        <v>12</v>
      </c>
      <c r="L70" s="10" t="s">
        <v>289</v>
      </c>
      <c r="M70" s="9" t="s">
        <v>729</v>
      </c>
      <c r="N70" s="10" t="s">
        <v>730</v>
      </c>
      <c r="O70" s="9" t="s">
        <v>731</v>
      </c>
      <c r="P70" s="11" t="n">
        <v>223160</v>
      </c>
      <c r="Q70" s="9" t="s">
        <v>732</v>
      </c>
      <c r="R70" s="10" t="s">
        <v>733</v>
      </c>
      <c r="S70" s="9" t="s">
        <v>734</v>
      </c>
      <c r="T70" s="11" t="n">
        <v>4180</v>
      </c>
      <c r="U70" s="9" t="n">
        <f aca="false">IF(ISNUMBER(H70),IF(H70&gt;=100*C70,1,0),0)+IF(ISNUMBER(P70),IF(P70&gt;=100*C70,1,0),0)+IF(ISNUMBER(T70),IF(T70&gt;=100*C70,1,0),0)</f>
        <v>3</v>
      </c>
    </row>
    <row r="71" customFormat="false" ht="15" hidden="false" customHeight="false" outlineLevel="0" collapsed="false">
      <c r="A71" s="9" t="n">
        <v>66</v>
      </c>
      <c r="B71" s="10" t="s">
        <v>735</v>
      </c>
      <c r="C71" s="9" t="n">
        <v>1</v>
      </c>
      <c r="D71" s="10" t="s">
        <v>736</v>
      </c>
      <c r="E71" s="9" t="s">
        <v>737</v>
      </c>
      <c r="F71" s="9" t="s">
        <v>738</v>
      </c>
      <c r="G71" s="9" t="s">
        <v>739</v>
      </c>
      <c r="H71" s="11" t="n">
        <v>11262</v>
      </c>
      <c r="I71" s="11" t="n">
        <f aca="false">IF(ISNUMBER(H71),INT(H71/C71),0)</f>
        <v>11262</v>
      </c>
      <c r="J71" s="12" t="n">
        <v>0.3527</v>
      </c>
      <c r="K71" s="16" t="s">
        <v>12</v>
      </c>
      <c r="L71" s="10" t="s">
        <v>740</v>
      </c>
      <c r="M71" s="9" t="s">
        <v>741</v>
      </c>
      <c r="N71" s="10" t="s">
        <v>742</v>
      </c>
      <c r="O71" s="9" t="s">
        <v>743</v>
      </c>
      <c r="P71" s="11" t="n">
        <v>35</v>
      </c>
      <c r="Q71" s="9"/>
      <c r="R71" s="10" t="s">
        <v>208</v>
      </c>
      <c r="S71" s="9"/>
      <c r="T71" s="11"/>
      <c r="U71" s="9" t="n">
        <f aca="false">IF(ISNUMBER(H71),IF(H71&gt;=100*C71,1,0),0)+IF(ISNUMBER(P71),IF(P71&gt;=100*C71,1,0),0)+IF(ISNUMBER(T71),IF(T71&gt;=100*C71,1,0),0)</f>
        <v>1</v>
      </c>
    </row>
    <row r="72" customFormat="false" ht="15" hidden="false" customHeight="false" outlineLevel="0" collapsed="false">
      <c r="A72" s="9" t="n">
        <v>68</v>
      </c>
      <c r="B72" s="10" t="s">
        <v>744</v>
      </c>
      <c r="C72" s="9" t="n">
        <v>1</v>
      </c>
      <c r="D72" s="10" t="s">
        <v>745</v>
      </c>
      <c r="E72" s="9" t="s">
        <v>746</v>
      </c>
      <c r="F72" s="9" t="s">
        <v>747</v>
      </c>
      <c r="G72" s="9" t="s">
        <v>748</v>
      </c>
      <c r="H72" s="11" t="n">
        <v>109660</v>
      </c>
      <c r="I72" s="11" t="n">
        <f aca="false">IF(ISNUMBER(H72),INT(H72/C72),0)</f>
        <v>109660</v>
      </c>
      <c r="J72" s="12" t="n">
        <v>0.0133</v>
      </c>
      <c r="K72" s="16" t="s">
        <v>12</v>
      </c>
      <c r="L72" s="10" t="s">
        <v>289</v>
      </c>
      <c r="M72" s="9" t="s">
        <v>749</v>
      </c>
      <c r="N72" s="10" t="s">
        <v>750</v>
      </c>
      <c r="O72" s="9" t="s">
        <v>751</v>
      </c>
      <c r="P72" s="11" t="n">
        <v>16470</v>
      </c>
      <c r="Q72" s="9" t="s">
        <v>752</v>
      </c>
      <c r="R72" s="10" t="s">
        <v>753</v>
      </c>
      <c r="S72" s="9" t="s">
        <v>754</v>
      </c>
      <c r="T72" s="11" t="n">
        <v>200</v>
      </c>
      <c r="U72" s="9" t="n">
        <f aca="false">IF(ISNUMBER(H72),IF(H72&gt;=100*C72,1,0),0)+IF(ISNUMBER(P72),IF(P72&gt;=100*C72,1,0),0)+IF(ISNUMBER(T72),IF(T72&gt;=100*C72,1,0),0)</f>
        <v>3</v>
      </c>
    </row>
    <row r="73" customFormat="false" ht="22.35" hidden="false" customHeight="false" outlineLevel="0" collapsed="false">
      <c r="A73" s="9" t="n">
        <v>70</v>
      </c>
      <c r="B73" s="10" t="s">
        <v>755</v>
      </c>
      <c r="C73" s="9" t="n">
        <v>2</v>
      </c>
      <c r="D73" s="10" t="s">
        <v>756</v>
      </c>
      <c r="E73" s="9" t="s">
        <v>756</v>
      </c>
      <c r="F73" s="9" t="s">
        <v>210</v>
      </c>
      <c r="G73" s="9" t="s">
        <v>757</v>
      </c>
      <c r="H73" s="11" t="n">
        <v>43365</v>
      </c>
      <c r="I73" s="11" t="n">
        <f aca="false">IF(ISNUMBER(H73),INT(H73/C73),0)</f>
        <v>21682</v>
      </c>
      <c r="J73" s="12" t="n">
        <v>0.3314</v>
      </c>
      <c r="K73" s="16" t="s">
        <v>12</v>
      </c>
      <c r="L73" s="10" t="s">
        <v>289</v>
      </c>
      <c r="M73" s="9" t="s">
        <v>758</v>
      </c>
      <c r="N73" s="10" t="s">
        <v>759</v>
      </c>
      <c r="O73" s="9" t="s">
        <v>760</v>
      </c>
      <c r="P73" s="11" t="n">
        <v>20508</v>
      </c>
      <c r="Q73" s="9" t="s">
        <v>761</v>
      </c>
      <c r="R73" s="10" t="s">
        <v>762</v>
      </c>
      <c r="S73" s="9" t="s">
        <v>763</v>
      </c>
      <c r="T73" s="11" t="n">
        <v>34923</v>
      </c>
      <c r="U73" s="9" t="n">
        <f aca="false">IF(ISNUMBER(H73),IF(H73&gt;=100*C73,1,0),0)+IF(ISNUMBER(P73),IF(P73&gt;=100*C73,1,0),0)+IF(ISNUMBER(T73),IF(T73&gt;=100*C73,1,0),0)</f>
        <v>3</v>
      </c>
    </row>
    <row r="74" customFormat="false" ht="15" hidden="false" customHeight="false" outlineLevel="0" collapsed="false">
      <c r="A74" s="9" t="n">
        <v>71</v>
      </c>
      <c r="B74" s="10" t="s">
        <v>764</v>
      </c>
      <c r="C74" s="9" t="n">
        <v>1</v>
      </c>
      <c r="D74" s="10" t="s">
        <v>765</v>
      </c>
      <c r="E74" s="9" t="s">
        <v>765</v>
      </c>
      <c r="F74" s="9" t="s">
        <v>210</v>
      </c>
      <c r="G74" s="9" t="s">
        <v>766</v>
      </c>
      <c r="H74" s="11" t="n">
        <v>114670</v>
      </c>
      <c r="I74" s="11" t="n">
        <f aca="false">IF(ISNUMBER(H74),INT(H74/C74),0)</f>
        <v>114670</v>
      </c>
      <c r="J74" s="12" t="n">
        <v>0.0659</v>
      </c>
      <c r="K74" s="16" t="s">
        <v>12</v>
      </c>
      <c r="L74" s="10" t="s">
        <v>289</v>
      </c>
      <c r="M74" s="9" t="s">
        <v>767</v>
      </c>
      <c r="N74" s="10" t="s">
        <v>768</v>
      </c>
      <c r="O74" s="9" t="s">
        <v>769</v>
      </c>
      <c r="P74" s="11" t="n">
        <v>57390</v>
      </c>
      <c r="Q74" s="9" t="s">
        <v>770</v>
      </c>
      <c r="R74" s="10" t="s">
        <v>771</v>
      </c>
      <c r="S74" s="9" t="s">
        <v>772</v>
      </c>
      <c r="T74" s="11" t="n">
        <v>273255</v>
      </c>
      <c r="U74" s="9" t="n">
        <f aca="false">IF(ISNUMBER(H74),IF(H74&gt;=100*C74,1,0),0)+IF(ISNUMBER(P74),IF(P74&gt;=100*C74,1,0),0)+IF(ISNUMBER(T74),IF(T74&gt;=100*C74,1,0),0)</f>
        <v>3</v>
      </c>
    </row>
    <row r="75" customFormat="false" ht="15" hidden="false" customHeight="false" outlineLevel="0" collapsed="false">
      <c r="A75" s="9" t="n">
        <v>72</v>
      </c>
      <c r="B75" s="10" t="s">
        <v>773</v>
      </c>
      <c r="C75" s="9" t="n">
        <v>1</v>
      </c>
      <c r="D75" s="10" t="s">
        <v>774</v>
      </c>
      <c r="E75" s="9" t="s">
        <v>774</v>
      </c>
      <c r="F75" s="9" t="s">
        <v>210</v>
      </c>
      <c r="G75" s="9" t="s">
        <v>775</v>
      </c>
      <c r="H75" s="11" t="n">
        <v>5213</v>
      </c>
      <c r="I75" s="11" t="n">
        <f aca="false">IF(ISNUMBER(H75),INT(H75/C75),0)</f>
        <v>5213</v>
      </c>
      <c r="J75" s="12" t="n">
        <v>0.2538</v>
      </c>
      <c r="K75" s="16" t="s">
        <v>12</v>
      </c>
      <c r="L75" s="10" t="s">
        <v>289</v>
      </c>
      <c r="M75" s="9" t="s">
        <v>776</v>
      </c>
      <c r="N75" s="10" t="s">
        <v>777</v>
      </c>
      <c r="O75" s="9" t="s">
        <v>778</v>
      </c>
      <c r="P75" s="11" t="n">
        <v>514</v>
      </c>
      <c r="Q75" s="9" t="s">
        <v>779</v>
      </c>
      <c r="R75" s="10" t="s">
        <v>780</v>
      </c>
      <c r="S75" s="9" t="s">
        <v>781</v>
      </c>
      <c r="T75" s="11" t="n">
        <v>4285</v>
      </c>
      <c r="U75" s="9" t="n">
        <f aca="false">IF(ISNUMBER(H75),IF(H75&gt;=100*C75,1,0),0)+IF(ISNUMBER(P75),IF(P75&gt;=100*C75,1,0),0)+IF(ISNUMBER(T75),IF(T75&gt;=100*C75,1,0),0)</f>
        <v>3</v>
      </c>
    </row>
    <row r="76" customFormat="false" ht="15" hidden="false" customHeight="false" outlineLevel="0" collapsed="false">
      <c r="A76" s="9" t="n">
        <v>73</v>
      </c>
      <c r="B76" s="10" t="s">
        <v>782</v>
      </c>
      <c r="C76" s="9" t="n">
        <v>1</v>
      </c>
      <c r="D76" s="10" t="s">
        <v>783</v>
      </c>
      <c r="E76" s="9" t="s">
        <v>783</v>
      </c>
      <c r="F76" s="9" t="s">
        <v>210</v>
      </c>
      <c r="G76" s="9" t="s">
        <v>784</v>
      </c>
      <c r="H76" s="11" t="n">
        <v>55660</v>
      </c>
      <c r="I76" s="11" t="n">
        <f aca="false">IF(ISNUMBER(H76),INT(H76/C76),0)</f>
        <v>55660</v>
      </c>
      <c r="J76" s="12" t="n">
        <v>0.1946</v>
      </c>
      <c r="K76" s="16" t="s">
        <v>12</v>
      </c>
      <c r="L76" s="10" t="s">
        <v>289</v>
      </c>
      <c r="M76" s="9" t="s">
        <v>785</v>
      </c>
      <c r="N76" s="10" t="s">
        <v>786</v>
      </c>
      <c r="O76" s="9" t="s">
        <v>787</v>
      </c>
      <c r="P76" s="11" t="n">
        <v>1074</v>
      </c>
      <c r="Q76" s="9" t="s">
        <v>788</v>
      </c>
      <c r="R76" s="10" t="s">
        <v>789</v>
      </c>
      <c r="S76" s="9" t="s">
        <v>790</v>
      </c>
      <c r="T76" s="11" t="n">
        <v>2655</v>
      </c>
      <c r="U76" s="9" t="n">
        <f aca="false">IF(ISNUMBER(H76),IF(H76&gt;=100*C76,1,0),0)+IF(ISNUMBER(P76),IF(P76&gt;=100*C76,1,0),0)+IF(ISNUMBER(T76),IF(T76&gt;=100*C76,1,0),0)</f>
        <v>3</v>
      </c>
    </row>
    <row r="77" customFormat="false" ht="15" hidden="false" customHeight="false" outlineLevel="0" collapsed="false">
      <c r="A77" s="9" t="n">
        <v>75</v>
      </c>
      <c r="B77" s="10" t="s">
        <v>791</v>
      </c>
      <c r="C77" s="9" t="n">
        <v>1</v>
      </c>
      <c r="D77" s="10" t="s">
        <v>792</v>
      </c>
      <c r="E77" s="9" t="s">
        <v>792</v>
      </c>
      <c r="F77" s="9" t="s">
        <v>210</v>
      </c>
      <c r="G77" s="9" t="s">
        <v>793</v>
      </c>
      <c r="H77" s="11" t="n">
        <v>17531</v>
      </c>
      <c r="I77" s="11" t="n">
        <f aca="false">IF(ISNUMBER(H77),INT(H77/C77),0)</f>
        <v>17531</v>
      </c>
      <c r="J77" s="12" t="n">
        <v>0.2077</v>
      </c>
      <c r="K77" s="16" t="s">
        <v>12</v>
      </c>
      <c r="L77" s="10" t="s">
        <v>289</v>
      </c>
      <c r="M77" s="9" t="s">
        <v>794</v>
      </c>
      <c r="N77" s="10" t="s">
        <v>795</v>
      </c>
      <c r="O77" s="9" t="s">
        <v>796</v>
      </c>
      <c r="P77" s="11" t="n">
        <v>231</v>
      </c>
      <c r="Q77" s="9" t="s">
        <v>797</v>
      </c>
      <c r="R77" s="10" t="s">
        <v>798</v>
      </c>
      <c r="S77" s="9" t="s">
        <v>799</v>
      </c>
      <c r="T77" s="11" t="n">
        <v>11365</v>
      </c>
      <c r="U77" s="9" t="n">
        <f aca="false">IF(ISNUMBER(H77),IF(H77&gt;=100*C77,1,0),0)+IF(ISNUMBER(P77),IF(P77&gt;=100*C77,1,0),0)+IF(ISNUMBER(T77),IF(T77&gt;=100*C77,1,0),0)</f>
        <v>3</v>
      </c>
    </row>
    <row r="78" customFormat="false" ht="22.35" hidden="false" customHeight="false" outlineLevel="0" collapsed="false">
      <c r="A78" s="9" t="n">
        <v>76</v>
      </c>
      <c r="B78" s="10" t="s">
        <v>800</v>
      </c>
      <c r="C78" s="9" t="n">
        <v>1</v>
      </c>
      <c r="D78" s="10" t="s">
        <v>801</v>
      </c>
      <c r="E78" s="9" t="s">
        <v>801</v>
      </c>
      <c r="F78" s="9" t="s">
        <v>281</v>
      </c>
      <c r="G78" s="9" t="s">
        <v>802</v>
      </c>
      <c r="H78" s="11" t="n">
        <v>2320</v>
      </c>
      <c r="I78" s="11" t="n">
        <f aca="false">IF(ISNUMBER(H78),INT(H78/C78),0)</f>
        <v>2320</v>
      </c>
      <c r="J78" s="12" t="n">
        <v>0.46</v>
      </c>
      <c r="K78" s="16" t="s">
        <v>12</v>
      </c>
      <c r="L78" s="10" t="s">
        <v>289</v>
      </c>
      <c r="M78" s="9" t="s">
        <v>803</v>
      </c>
      <c r="N78" s="10" t="s">
        <v>804</v>
      </c>
      <c r="O78" s="9" t="s">
        <v>805</v>
      </c>
      <c r="P78" s="11" t="n">
        <v>139</v>
      </c>
      <c r="Q78" s="9" t="s">
        <v>806</v>
      </c>
      <c r="R78" s="10" t="s">
        <v>807</v>
      </c>
      <c r="S78" s="9" t="s">
        <v>808</v>
      </c>
      <c r="T78" s="11" t="n">
        <v>2685</v>
      </c>
      <c r="U78" s="9" t="n">
        <f aca="false">IF(ISNUMBER(H78),IF(H78&gt;=100*C78,1,0),0)+IF(ISNUMBER(P78),IF(P78&gt;=100*C78,1,0),0)+IF(ISNUMBER(T78),IF(T78&gt;=100*C78,1,0),0)</f>
        <v>3</v>
      </c>
    </row>
    <row r="79" customFormat="false" ht="15" hidden="false" customHeight="false" outlineLevel="0" collapsed="false">
      <c r="A79" s="9" t="n">
        <v>77</v>
      </c>
      <c r="B79" s="10" t="s">
        <v>809</v>
      </c>
      <c r="C79" s="9" t="n">
        <v>1</v>
      </c>
      <c r="D79" s="10" t="s">
        <v>810</v>
      </c>
      <c r="E79" s="9" t="s">
        <v>810</v>
      </c>
      <c r="F79" s="9" t="s">
        <v>811</v>
      </c>
      <c r="G79" s="9" t="s">
        <v>812</v>
      </c>
      <c r="H79" s="11" t="n">
        <v>6670</v>
      </c>
      <c r="I79" s="11" t="n">
        <f aca="false">IF(ISNUMBER(H79),INT(H79/C79),0)</f>
        <v>6670</v>
      </c>
      <c r="J79" s="12" t="n">
        <v>0.127</v>
      </c>
      <c r="K79" s="16" t="s">
        <v>12</v>
      </c>
      <c r="L79" s="10" t="s">
        <v>289</v>
      </c>
      <c r="M79" s="9" t="s">
        <v>813</v>
      </c>
      <c r="N79" s="10" t="s">
        <v>814</v>
      </c>
      <c r="O79" s="9" t="s">
        <v>815</v>
      </c>
      <c r="P79" s="11" t="n">
        <v>52680</v>
      </c>
      <c r="Q79" s="9" t="s">
        <v>816</v>
      </c>
      <c r="R79" s="10" t="s">
        <v>817</v>
      </c>
      <c r="S79" s="9" t="s">
        <v>818</v>
      </c>
      <c r="T79" s="11" t="n">
        <v>98350</v>
      </c>
      <c r="U79" s="9" t="n">
        <f aca="false">IF(ISNUMBER(H79),IF(H79&gt;=100*C79,1,0),0)+IF(ISNUMBER(P79),IF(P79&gt;=100*C79,1,0),0)+IF(ISNUMBER(T79),IF(T79&gt;=100*C79,1,0),0)</f>
        <v>3</v>
      </c>
    </row>
    <row r="80" customFormat="false" ht="22.35" hidden="false" customHeight="false" outlineLevel="0" collapsed="false">
      <c r="A80" s="9" t="n">
        <v>78</v>
      </c>
      <c r="B80" s="10" t="s">
        <v>819</v>
      </c>
      <c r="C80" s="9" t="n">
        <v>3</v>
      </c>
      <c r="D80" s="10" t="s">
        <v>820</v>
      </c>
      <c r="E80" s="9" t="s">
        <v>820</v>
      </c>
      <c r="F80" s="9" t="s">
        <v>210</v>
      </c>
      <c r="G80" s="9" t="s">
        <v>821</v>
      </c>
      <c r="H80" s="11" t="n">
        <v>144505</v>
      </c>
      <c r="I80" s="11" t="n">
        <f aca="false">IF(ISNUMBER(H80),INT(H80/C80),0)</f>
        <v>48168</v>
      </c>
      <c r="J80" s="12" t="n">
        <v>0.0672</v>
      </c>
      <c r="K80" s="16" t="s">
        <v>12</v>
      </c>
      <c r="L80" s="10" t="s">
        <v>289</v>
      </c>
      <c r="M80" s="9" t="s">
        <v>822</v>
      </c>
      <c r="N80" s="10" t="s">
        <v>823</v>
      </c>
      <c r="O80" s="9" t="s">
        <v>824</v>
      </c>
      <c r="P80" s="11" t="n">
        <v>3705</v>
      </c>
      <c r="Q80" s="9" t="s">
        <v>825</v>
      </c>
      <c r="R80" s="10" t="s">
        <v>826</v>
      </c>
      <c r="S80" s="9" t="s">
        <v>827</v>
      </c>
      <c r="T80" s="11" t="n">
        <v>950</v>
      </c>
      <c r="U80" s="9" t="n">
        <f aca="false">IF(ISNUMBER(H80),IF(H80&gt;=100*C80,1,0),0)+IF(ISNUMBER(P80),IF(P80&gt;=100*C80,1,0),0)+IF(ISNUMBER(T80),IF(T80&gt;=100*C80,1,0),0)</f>
        <v>3</v>
      </c>
    </row>
    <row r="81" customFormat="false" ht="22.35" hidden="false" customHeight="false" outlineLevel="0" collapsed="false">
      <c r="A81" s="9" t="n">
        <v>79</v>
      </c>
      <c r="B81" s="10" t="s">
        <v>828</v>
      </c>
      <c r="C81" s="9" t="n">
        <v>2</v>
      </c>
      <c r="D81" s="10" t="s">
        <v>829</v>
      </c>
      <c r="E81" s="9" t="s">
        <v>829</v>
      </c>
      <c r="F81" s="9" t="s">
        <v>210</v>
      </c>
      <c r="G81" s="9" t="s">
        <v>830</v>
      </c>
      <c r="H81" s="11" t="n">
        <v>121415</v>
      </c>
      <c r="I81" s="11" t="n">
        <f aca="false">IF(ISNUMBER(H81),INT(H81/C81),0)</f>
        <v>60707</v>
      </c>
      <c r="J81" s="12" t="n">
        <v>0.0449</v>
      </c>
      <c r="K81" s="16" t="s">
        <v>12</v>
      </c>
      <c r="L81" s="10" t="s">
        <v>289</v>
      </c>
      <c r="M81" s="9" t="s">
        <v>831</v>
      </c>
      <c r="N81" s="10" t="s">
        <v>832</v>
      </c>
      <c r="O81" s="9" t="s">
        <v>833</v>
      </c>
      <c r="P81" s="11" t="n">
        <v>431500</v>
      </c>
      <c r="Q81" s="9" t="s">
        <v>834</v>
      </c>
      <c r="R81" s="10" t="s">
        <v>835</v>
      </c>
      <c r="S81" s="9" t="s">
        <v>836</v>
      </c>
      <c r="T81" s="11" t="n">
        <v>2000</v>
      </c>
      <c r="U81" s="9" t="n">
        <f aca="false">IF(ISNUMBER(H81),IF(H81&gt;=100*C81,1,0),0)+IF(ISNUMBER(P81),IF(P81&gt;=100*C81,1,0),0)+IF(ISNUMBER(T81),IF(T81&gt;=100*C81,1,0),0)</f>
        <v>3</v>
      </c>
    </row>
    <row r="82" customFormat="false" ht="15" hidden="false" customHeight="false" outlineLevel="0" collapsed="false">
      <c r="A82" s="9" t="n">
        <v>80</v>
      </c>
      <c r="B82" s="10" t="s">
        <v>837</v>
      </c>
      <c r="C82" s="9" t="n">
        <v>1</v>
      </c>
      <c r="D82" s="10" t="s">
        <v>838</v>
      </c>
      <c r="E82" s="9" t="s">
        <v>838</v>
      </c>
      <c r="F82" s="9" t="s">
        <v>265</v>
      </c>
      <c r="G82" s="9" t="s">
        <v>839</v>
      </c>
      <c r="H82" s="11" t="n">
        <v>22345</v>
      </c>
      <c r="I82" s="11" t="n">
        <f aca="false">IF(ISNUMBER(H82),INT(H82/C82),0)</f>
        <v>22345</v>
      </c>
      <c r="J82" s="12" t="n">
        <v>0.1922</v>
      </c>
      <c r="K82" s="16" t="s">
        <v>12</v>
      </c>
      <c r="L82" s="10" t="s">
        <v>289</v>
      </c>
      <c r="M82" s="9" t="s">
        <v>840</v>
      </c>
      <c r="N82" s="10" t="s">
        <v>841</v>
      </c>
      <c r="O82" s="9" t="s">
        <v>842</v>
      </c>
      <c r="P82" s="11" t="n">
        <v>72335</v>
      </c>
      <c r="Q82" s="9" t="s">
        <v>843</v>
      </c>
      <c r="R82" s="10" t="s">
        <v>844</v>
      </c>
      <c r="S82" s="9" t="s">
        <v>845</v>
      </c>
      <c r="T82" s="11" t="n">
        <v>1296</v>
      </c>
      <c r="U82" s="9" t="n">
        <f aca="false">IF(ISNUMBER(H82),IF(H82&gt;=100*C82,1,0),0)+IF(ISNUMBER(P82),IF(P82&gt;=100*C82,1,0),0)+IF(ISNUMBER(T82),IF(T82&gt;=100*C82,1,0),0)</f>
        <v>3</v>
      </c>
    </row>
    <row r="83" customFormat="false" ht="15" hidden="false" customHeight="false" outlineLevel="0" collapsed="false">
      <c r="A83" s="9" t="n">
        <v>81</v>
      </c>
      <c r="B83" s="10" t="s">
        <v>846</v>
      </c>
      <c r="C83" s="9" t="n">
        <v>1</v>
      </c>
      <c r="D83" s="10" t="s">
        <v>847</v>
      </c>
      <c r="E83" s="9" t="s">
        <v>847</v>
      </c>
      <c r="F83" s="9" t="s">
        <v>848</v>
      </c>
      <c r="G83" s="9" t="s">
        <v>849</v>
      </c>
      <c r="H83" s="11" t="n">
        <v>452440</v>
      </c>
      <c r="I83" s="11" t="n">
        <f aca="false">IF(ISNUMBER(H83),INT(H83/C83),0)</f>
        <v>452440</v>
      </c>
      <c r="J83" s="12" t="n">
        <v>0.0313</v>
      </c>
      <c r="K83" s="16" t="s">
        <v>12</v>
      </c>
      <c r="L83" s="10" t="s">
        <v>289</v>
      </c>
      <c r="M83" s="9" t="s">
        <v>850</v>
      </c>
      <c r="N83" s="10" t="s">
        <v>851</v>
      </c>
      <c r="O83" s="9" t="s">
        <v>852</v>
      </c>
      <c r="P83" s="11" t="n">
        <v>40510</v>
      </c>
      <c r="Q83" s="9" t="s">
        <v>853</v>
      </c>
      <c r="R83" s="10" t="s">
        <v>854</v>
      </c>
      <c r="S83" s="9" t="s">
        <v>855</v>
      </c>
      <c r="T83" s="11" t="n">
        <v>17980</v>
      </c>
      <c r="U83" s="9" t="n">
        <f aca="false">IF(ISNUMBER(H83),IF(H83&gt;=100*C83,1,0),0)+IF(ISNUMBER(P83),IF(P83&gt;=100*C83,1,0),0)+IF(ISNUMBER(T83),IF(T83&gt;=100*C83,1,0),0)</f>
        <v>3</v>
      </c>
    </row>
    <row r="84" customFormat="false" ht="15" hidden="false" customHeight="false" outlineLevel="0" collapsed="false">
      <c r="A84" s="9" t="n">
        <v>82</v>
      </c>
      <c r="B84" s="10" t="s">
        <v>856</v>
      </c>
      <c r="C84" s="9" t="n">
        <v>1</v>
      </c>
      <c r="D84" s="10" t="s">
        <v>857</v>
      </c>
      <c r="E84" s="9" t="s">
        <v>857</v>
      </c>
      <c r="F84" s="9" t="s">
        <v>858</v>
      </c>
      <c r="G84" s="9" t="s">
        <v>859</v>
      </c>
      <c r="H84" s="11" t="n">
        <v>84200</v>
      </c>
      <c r="I84" s="11" t="n">
        <f aca="false">IF(ISNUMBER(H84),INT(H84/C84),0)</f>
        <v>84200</v>
      </c>
      <c r="J84" s="12" t="n">
        <v>0.0485</v>
      </c>
      <c r="K84" s="16" t="s">
        <v>12</v>
      </c>
      <c r="L84" s="10" t="s">
        <v>289</v>
      </c>
      <c r="M84" s="9" t="s">
        <v>860</v>
      </c>
      <c r="N84" s="10" t="s">
        <v>861</v>
      </c>
      <c r="O84" s="9" t="s">
        <v>862</v>
      </c>
      <c r="P84" s="11" t="n">
        <v>35535</v>
      </c>
      <c r="Q84" s="9" t="s">
        <v>863</v>
      </c>
      <c r="R84" s="10" t="s">
        <v>864</v>
      </c>
      <c r="S84" s="9" t="s">
        <v>865</v>
      </c>
      <c r="T84" s="11" t="n">
        <v>10405</v>
      </c>
      <c r="U84" s="9" t="n">
        <f aca="false">IF(ISNUMBER(H84),IF(H84&gt;=100*C84,1,0),0)+IF(ISNUMBER(P84),IF(P84&gt;=100*C84,1,0),0)+IF(ISNUMBER(T84),IF(T84&gt;=100*C84,1,0),0)</f>
        <v>3</v>
      </c>
    </row>
  </sheetData>
  <autoFilter ref="A1:U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2026-10-20T01:25:25Z</dcterms:created>
  <dc:creator>openpyxl</dc:creator>
  <dc:description/>
  <dc:language>en-US</dc:language>
  <cp:lastModifiedBy/>
  <dcterms:modified xsi:type="dcterms:W3CDTF">2026-10-20T01:25:25Z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