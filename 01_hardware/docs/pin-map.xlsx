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in map" sheetId="1" state="visible" r:id="rId3"/>
    <sheet name="Summary" sheetId="2" state="visible" r:id="rId4"/>
  </sheets>
  <definedNames>
    <definedName function="false" hidden="true" localSheetId="0" name="_xlnm._FilterDatabase" vbProcedure="false">'Pin map'!$A$1:$AA$65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<sst xmlns="http://schemas.openxmlformats.org/spreadsheetml/2006/main" count="1093" uniqueCount="562">
  <si>
    <t xml:space="preserve">Pin #</t>
  </si>
  <si>
    <t xml:space="preserve">Pin name</t>
  </si>
  <si>
    <t xml:space="preserve">Pin type</t>
  </si>
  <si>
    <t xml:space="preserve">Net (schematic)</t>
  </si>
  <si>
    <t xml:space="preserve">Status</t>
  </si>
  <si>
    <t xml:space="preserve">Function used</t>
  </si>
  <si>
    <t xml:space="preserve">Mode / AF</t>
  </si>
  <si>
    <t xml:space="preserve">Direction</t>
  </si>
  <si>
    <t xml:space="preserve">Connected to</t>
  </si>
  <si>
    <t xml:space="preserve">Design notes</t>
  </si>
  <si>
    <t xml:space="preserve">Additional functions (analog, wake-up, ...)</t>
  </si>
  <si>
    <t xml:space="preserve">AF0</t>
  </si>
  <si>
    <t xml:space="preserve">AF1</t>
  </si>
  <si>
    <t xml:space="preserve">AF2</t>
  </si>
  <si>
    <t xml:space="preserve">AF3</t>
  </si>
  <si>
    <t xml:space="preserve">AF4</t>
  </si>
  <si>
    <t xml:space="preserve">AF5</t>
  </si>
  <si>
    <t xml:space="preserve">AF6</t>
  </si>
  <si>
    <t xml:space="preserve">AF7</t>
  </si>
  <si>
    <t xml:space="preserve">AF8</t>
  </si>
  <si>
    <t xml:space="preserve">AF9</t>
  </si>
  <si>
    <t xml:space="preserve">AF10</t>
  </si>
  <si>
    <t xml:space="preserve">AF11</t>
  </si>
  <si>
    <t xml:space="preserve">AF12</t>
  </si>
  <si>
    <t xml:space="preserve">AF13</t>
  </si>
  <si>
    <t xml:space="preserve">AF14</t>
  </si>
  <si>
    <t xml:space="preserve">AF15</t>
  </si>
  <si>
    <t xml:space="preserve">VBAT</t>
  </si>
  <si>
    <t xml:space="preserve">Power</t>
  </si>
  <si>
    <t xml:space="preserve">+3V3</t>
  </si>
  <si>
    <t xml:space="preserve">VBAT (backup domain)</t>
  </si>
  <si>
    <t xml:space="preserve">Supply</t>
  </si>
  <si>
    <t xml:space="preserve">Tied to +3V3 (no backup battery; RTC/backup registers lost at power-off)</t>
  </si>
  <si>
    <t xml:space="preserve">PC13</t>
  </si>
  <si>
    <t xml:space="preserve">I/O</t>
  </si>
  <si>
    <t xml:space="preserve">SP_PC13</t>
  </si>
  <si>
    <t xml:space="preserve">Unused</t>
  </si>
  <si>
    <t xml:space="preserve">Not used</t>
  </si>
  <si>
    <t xml:space="preserve">Analog (reset state) or input</t>
  </si>
  <si>
    <t xml:space="preserve">-</t>
  </si>
  <si>
    <t xml:space="preserve">R90.1</t>
  </si>
  <si>
    <t xml:space="preserve">10k pull-down to GND (R90); low-drive backup-domain pin</t>
  </si>
  <si>
    <t xml:space="preserve">RTC_OUT1, RTC_TAMP1, RTC_TS, SYS_WKUP2</t>
  </si>
  <si>
    <t xml:space="preserve">TIM1_BKIN</t>
  </si>
  <si>
    <t xml:space="preserve">TIM1_CH1N</t>
  </si>
  <si>
    <t xml:space="preserve">TIM8_CH4N</t>
  </si>
  <si>
    <t xml:space="preserve">EVENTOUT</t>
  </si>
  <si>
    <t xml:space="preserve">PC14-OSC32_IN</t>
  </si>
  <si>
    <t xml:space="preserve">SP_PC14</t>
  </si>
  <si>
    <t xml:space="preserve">R91.1</t>
  </si>
  <si>
    <t xml:space="preserve">10k pull-down to GND (R91); low-drive backup-domain pin</t>
  </si>
  <si>
    <t xml:space="preserve">RCC_OSC32_IN</t>
  </si>
  <si>
    <t xml:space="preserve">PC15-OSC32_OUT</t>
  </si>
  <si>
    <t xml:space="preserve">SP_PC15</t>
  </si>
  <si>
    <t xml:space="preserve">R92.1</t>
  </si>
  <si>
    <t xml:space="preserve">10k pull-down to GND (R92); low-drive backup-domain pin</t>
  </si>
  <si>
    <t xml:space="preserve">ADC1_EXTI15, ADC2_EXTI15, RCC_OSC32_OUT</t>
  </si>
  <si>
    <t xml:space="preserve">PF0-OSC_IN</t>
  </si>
  <si>
    <t xml:space="preserve">OSC_IN</t>
  </si>
  <si>
    <t xml:space="preserve">Used</t>
  </si>
  <si>
    <t xml:space="preserve">RCC_OSC_IN (HSE)</t>
  </si>
  <si>
    <t xml:space="preserve">RCC HSE crystal</t>
  </si>
  <si>
    <t xml:space="preserve">In</t>
  </si>
  <si>
    <t xml:space="preserve">C38.1, Y1.1</t>
  </si>
  <si>
    <t xml:space="preserve">Y1 16 MHz 9 pF + 12 pF C0G load caps -&gt; PLL 170 MHz</t>
  </si>
  <si>
    <t xml:space="preserve">ADC1_IN10, RCC_OSC_IN</t>
  </si>
  <si>
    <t xml:space="preserve">I2C2_SDA</t>
  </si>
  <si>
    <t xml:space="preserve">I2S2_WS / SPI2_NSS</t>
  </si>
  <si>
    <t xml:space="preserve">TIM1_CH3N</t>
  </si>
  <si>
    <t xml:space="preserve">PF1-OSC_OUT</t>
  </si>
  <si>
    <t xml:space="preserve">OSC_OUT</t>
  </si>
  <si>
    <t xml:space="preserve">RCC_OSC_OUT (HSE)</t>
  </si>
  <si>
    <t xml:space="preserve">Out</t>
  </si>
  <si>
    <t xml:space="preserve">C39.1, Y1.3</t>
  </si>
  <si>
    <t xml:space="preserve">Y1 16 MHz</t>
  </si>
  <si>
    <t xml:space="preserve">ADC2_IN10, COMP3_INM, RCC_OSC_OUT</t>
  </si>
  <si>
    <t xml:space="preserve">I2S2_CK / SPI2_SCK</t>
  </si>
  <si>
    <t xml:space="preserve">PG10-NRST</t>
  </si>
  <si>
    <t xml:space="preserve">NRST</t>
  </si>
  <si>
    <t xml:space="preserve">Reset</t>
  </si>
  <si>
    <t xml:space="preserve">In/Out</t>
  </si>
  <si>
    <t xml:space="preserve">C40.1, J6.6, J7.10</t>
  </si>
  <si>
    <t xml:space="preserve">100 nF to GND (C40); SWD reset on J6.6 / J7.10</t>
  </si>
  <si>
    <t xml:space="preserve">DAC1_EXTI10, DAC2_EXTI10, DAC3_EXTI10, DAC4_EXTI10</t>
  </si>
  <si>
    <t xml:space="preserve">RCC_MCO</t>
  </si>
  <si>
    <t xml:space="preserve">PC0</t>
  </si>
  <si>
    <t xml:space="preserve">ADDR0</t>
  </si>
  <si>
    <t xml:space="preserve">GPIO input</t>
  </si>
  <si>
    <t xml:space="preserve">Input, no pull (10k external pull-up)</t>
  </si>
  <si>
    <t xml:space="preserve">R32.1, R38.2, SW1.1</t>
  </si>
  <si>
    <t xml:space="preserve">Address bit 0: DIP SW1 / header J5 (ON or jumper = 0)</t>
  </si>
  <si>
    <t xml:space="preserve">ADC1_IN6, ADC2_IN6, COMP3_INM</t>
  </si>
  <si>
    <t xml:space="preserve">LPTIM1_IN1</t>
  </si>
  <si>
    <t xml:space="preserve">TIM1_CH1</t>
  </si>
  <si>
    <t xml:space="preserve">LPUART1_RX</t>
  </si>
  <si>
    <t xml:space="preserve">PC1</t>
  </si>
  <si>
    <t xml:space="preserve">ADDR1</t>
  </si>
  <si>
    <t xml:space="preserve">R33.1, R39.2, SW1.2</t>
  </si>
  <si>
    <t xml:space="preserve">Address bit 1: DIP SW1 / header J5 (ON or jumper = 0)</t>
  </si>
  <si>
    <t xml:space="preserve">ADC1_IN7, ADC2_IN7, COMP3_INP</t>
  </si>
  <si>
    <t xml:space="preserve">LPTIM1_OUT</t>
  </si>
  <si>
    <t xml:space="preserve">TIM1_CH2</t>
  </si>
  <si>
    <t xml:space="preserve">LPUART1_TX</t>
  </si>
  <si>
    <t xml:space="preserve">QUADSPI1_BK2_IO0</t>
  </si>
  <si>
    <t xml:space="preserve">SAI1_SD_A</t>
  </si>
  <si>
    <t xml:space="preserve">PC2</t>
  </si>
  <si>
    <t xml:space="preserve">ADDR2</t>
  </si>
  <si>
    <t xml:space="preserve">R34.1, R40.2, SW1.3</t>
  </si>
  <si>
    <t xml:space="preserve">Address bit 2: DIP SW1 / header J5 (ON or jumper = 0)</t>
  </si>
  <si>
    <t xml:space="preserve">ADC1_IN8, ADC2_IN8, ADC3_EXTI2, ADC4_EXTI2, ADC5_EXTI2</t>
  </si>
  <si>
    <t xml:space="preserve">LPTIM1_IN2</t>
  </si>
  <si>
    <t xml:space="preserve">TIM1_CH3</t>
  </si>
  <si>
    <t xml:space="preserve">COMP3_OUT</t>
  </si>
  <si>
    <t xml:space="preserve">TIM20_CH2</t>
  </si>
  <si>
    <t xml:space="preserve">QUADSPI1_BK2_IO1</t>
  </si>
  <si>
    <t xml:space="preserve">PC3</t>
  </si>
  <si>
    <t xml:space="preserve">ADDR3</t>
  </si>
  <si>
    <t xml:space="preserve">R35.1, R41.2, SW1.4</t>
  </si>
  <si>
    <t xml:space="preserve">Address bit 3: DIP SW1 / header J5 (ON or jumper = 0)</t>
  </si>
  <si>
    <t xml:space="preserve">ADC1_IN9, ADC2_IN9, ADC3_EXTI3, ADC4_EXTI3, ADC5_EXTI3, OPAMP5_VINP, OPAMP5_VINP_SEC</t>
  </si>
  <si>
    <t xml:space="preserve">SYS_SLEEP</t>
  </si>
  <si>
    <t xml:space="preserve">LPTIM1_ETR</t>
  </si>
  <si>
    <t xml:space="preserve">TIM1_CH4</t>
  </si>
  <si>
    <t xml:space="preserve">SAI1_D1</t>
  </si>
  <si>
    <t xml:space="preserve">TIM1_BKIN2</t>
  </si>
  <si>
    <t xml:space="preserve">QUADSPI1_BK2_IO2</t>
  </si>
  <si>
    <t xml:space="preserve">PA0</t>
  </si>
  <si>
    <t xml:space="preserve">VBUS_SNS</t>
  </si>
  <si>
    <t xml:space="preserve">ADC1_IN1</t>
  </si>
  <si>
    <t xml:space="preserve">Analog</t>
  </si>
  <si>
    <t xml:space="preserve">C41.1, R21.2, R22.1</t>
  </si>
  <si>
    <t xml:space="preserve">VBUS divider 100k/5.1k, 1 nF -&gt; 68 V full scale</t>
  </si>
  <si>
    <t xml:space="preserve">ADC1_IN1, ADC2_IN1, COMP1_INM, COMP3_INP, RTC_TAMP2, SYS_WKUP1</t>
  </si>
  <si>
    <t xml:space="preserve">TIM2_CH1</t>
  </si>
  <si>
    <t xml:space="preserve">TIM5_CH1</t>
  </si>
  <si>
    <t xml:space="preserve">USART2_CTS / USART2_NSS</t>
  </si>
  <si>
    <t xml:space="preserve">COMP1_OUT</t>
  </si>
  <si>
    <t xml:space="preserve">TIM8_BKIN</t>
  </si>
  <si>
    <t xml:space="preserve">TIM8_ETR</t>
  </si>
  <si>
    <t xml:space="preserve">TIM2_ETR</t>
  </si>
  <si>
    <t xml:space="preserve">PA1</t>
  </si>
  <si>
    <t xml:space="preserve">IOUT_SNS</t>
  </si>
  <si>
    <t xml:space="preserve">ADC1_IN2</t>
  </si>
  <si>
    <t xml:space="preserve">C47.1, R28.2, TP14.1</t>
  </si>
  <si>
    <t xml:space="preserve">INA181A2 on 10 mOhm (RSH1): 0.5 V/A, 1k + 10 nF filter</t>
  </si>
  <si>
    <t xml:space="preserve">ADC1_IN2, ADC2_IN2, COMP1_INP, OPAMP1_VINP, OPAMP1_VINP_SEC, OPAMP3_VINP, OPAMP3_VINP_SEC, OPAMP6_VINM, OPAMP6_VINM0, OPAMP6_VINM_SEC</t>
  </si>
  <si>
    <t xml:space="preserve">RTC_REFIN</t>
  </si>
  <si>
    <t xml:space="preserve">TIM2_CH2</t>
  </si>
  <si>
    <t xml:space="preserve">TIM5_CH2</t>
  </si>
  <si>
    <t xml:space="preserve">USART2_DE / USART2_RTS</t>
  </si>
  <si>
    <t xml:space="preserve">TIM15_CH1N</t>
  </si>
  <si>
    <t xml:space="preserve">PA2</t>
  </si>
  <si>
    <t xml:space="preserve">SP_PA2</t>
  </si>
  <si>
    <t xml:space="preserve">R93.1</t>
  </si>
  <si>
    <t xml:space="preserve">10k pull-down to GND (R93)</t>
  </si>
  <si>
    <t xml:space="preserve">ADC1_IN3, ADC3_EXTI2, ADC4_EXTI2, ADC5_EXTI2, COMP2_INM, OPAMP1_VOUT, RCC_LSCO, SYS_WKUP4</t>
  </si>
  <si>
    <t xml:space="preserve">TIM2_CH3</t>
  </si>
  <si>
    <t xml:space="preserve">TIM5_CH3</t>
  </si>
  <si>
    <t xml:space="preserve">USART2_TX</t>
  </si>
  <si>
    <t xml:space="preserve">COMP2_OUT</t>
  </si>
  <si>
    <t xml:space="preserve">TIM15_CH1</t>
  </si>
  <si>
    <t xml:space="preserve">QUADSPI1_BK1_NCS</t>
  </si>
  <si>
    <t xml:space="preserve">UCPD1_FRSTX1 / UCPD1_FRSTX2</t>
  </si>
  <si>
    <t xml:space="preserve">VSS</t>
  </si>
  <si>
    <t xml:space="preserve">GND</t>
  </si>
  <si>
    <t xml:space="preserve">Ground</t>
  </si>
  <si>
    <t xml:space="preserve">Secondary GND plane (In1)</t>
  </si>
  <si>
    <t xml:space="preserve">VDD</t>
  </si>
  <si>
    <t xml:space="preserve">VDD supply</t>
  </si>
  <si>
    <t xml:space="preserve">100 nF per VDD pin (C30-C34) + 4.7 uF bulk (C35)</t>
  </si>
  <si>
    <t xml:space="preserve">PA3</t>
  </si>
  <si>
    <t xml:space="preserve">SP_PA3</t>
  </si>
  <si>
    <t xml:space="preserve">R94.1</t>
  </si>
  <si>
    <t xml:space="preserve">10k pull-down to GND (R94)</t>
  </si>
  <si>
    <t xml:space="preserve">ADC1_IN4, ADC3_EXTI3, ADC4_EXTI3, ADC5_EXTI3, COMP2_INP, OPAMP1_VINM, OPAMP1_VINM0, OPAMP1_VINM_SEC, OPAMP1_VINP, OPAMP1_VINP_SEC, OPAMP5_VINM, OPAMP5_VINM1, OPAMP5_VINM_SEC</t>
  </si>
  <si>
    <t xml:space="preserve">TIM2_CH4</t>
  </si>
  <si>
    <t xml:space="preserve">TIM5_CH4</t>
  </si>
  <si>
    <t xml:space="preserve">SAI1_CK1</t>
  </si>
  <si>
    <t xml:space="preserve">USART2_RX</t>
  </si>
  <si>
    <t xml:space="preserve">TIM15_CH2</t>
  </si>
  <si>
    <t xml:space="preserve">QUADSPI1_CLK</t>
  </si>
  <si>
    <t xml:space="preserve">SAI1_MCLK_A</t>
  </si>
  <si>
    <t xml:space="preserve">PA4</t>
  </si>
  <si>
    <t xml:space="preserve">SP_PA4</t>
  </si>
  <si>
    <t xml:space="preserve">Reserved</t>
  </si>
  <si>
    <t xml:space="preserve">Reserved: DAC1_OUT1</t>
  </si>
  <si>
    <t xml:space="preserve">R95.1</t>
  </si>
  <si>
    <t xml:space="preserve">Kept free for DAC1_OUT1 (Rev D request); 10k pull-down R95 is a valid DAC load (min 5k)</t>
  </si>
  <si>
    <t xml:space="preserve">ADC2_IN17, COMP1_INM, DAC1_OUT1</t>
  </si>
  <si>
    <t xml:space="preserve">TIM3_CH2</t>
  </si>
  <si>
    <t xml:space="preserve">SPI1_NSS</t>
  </si>
  <si>
    <t xml:space="preserve">I2S3_WS / SPI3_NSS</t>
  </si>
  <si>
    <t xml:space="preserve">USART2_CK</t>
  </si>
  <si>
    <t xml:space="preserve">SAI1_FS_B</t>
  </si>
  <si>
    <t xml:space="preserve">PA5</t>
  </si>
  <si>
    <t xml:space="preserve">TP_DAC</t>
  </si>
  <si>
    <t xml:space="preserve">DAC1_OUT2</t>
  </si>
  <si>
    <t xml:space="preserve">J6.3</t>
  </si>
  <si>
    <t xml:space="preserve">Test_pin_DAC on PROG PADS J6.3 (debug waveform out)</t>
  </si>
  <si>
    <t xml:space="preserve">ADC2_IN13, COMP2_INM, DAC1_OUT2, OPAMP2_VINM, OPAMP2_VINM0, OPAMP2_VINM_SEC</t>
  </si>
  <si>
    <t xml:space="preserve">SPI1_SCK</t>
  </si>
  <si>
    <t xml:space="preserve">PA6</t>
  </si>
  <si>
    <t xml:space="preserve">NTC_SNS</t>
  </si>
  <si>
    <t xml:space="preserve">ADC2_IN3</t>
  </si>
  <si>
    <t xml:space="preserve">C48.1, R29.2, TH1.1</t>
  </si>
  <si>
    <t xml:space="preserve">NTC 10k B3950 / 10k divider (Rev D: moved from PA4 to PA6)</t>
  </si>
  <si>
    <t xml:space="preserve">ADC2_IN3, DAC2_OUT1, OPAMP2_VOUT</t>
  </si>
  <si>
    <t xml:space="preserve">TIM16_CH1</t>
  </si>
  <si>
    <t xml:space="preserve">TIM3_CH1</t>
  </si>
  <si>
    <t xml:space="preserve">SPI1_MISO</t>
  </si>
  <si>
    <t xml:space="preserve">QUADSPI1_BK1_IO3</t>
  </si>
  <si>
    <t xml:space="preserve">LPUART1_CTS</t>
  </si>
  <si>
    <t xml:space="preserve">PA7</t>
  </si>
  <si>
    <t xml:space="preserve">SP_PA7</t>
  </si>
  <si>
    <t xml:space="preserve">R96.1</t>
  </si>
  <si>
    <t xml:space="preserve">10k pull-down to GND (R96)</t>
  </si>
  <si>
    <t xml:space="preserve">ADC2_IN4, COMP2_INP, OPAMP1_VINP, OPAMP1_VINP_SEC, OPAMP2_VINP, OPAMP2_VINP_SEC</t>
  </si>
  <si>
    <t xml:space="preserve">TIM17_CH1</t>
  </si>
  <si>
    <t xml:space="preserve">TIM8_CH1N</t>
  </si>
  <si>
    <t xml:space="preserve">SPI1_MOSI</t>
  </si>
  <si>
    <t xml:space="preserve">QUADSPI1_BK1_IO2</t>
  </si>
  <si>
    <t xml:space="preserve">PC4</t>
  </si>
  <si>
    <t xml:space="preserve">ADDR4</t>
  </si>
  <si>
    <t xml:space="preserve">R36.1, R42.2, SW1.5</t>
  </si>
  <si>
    <t xml:space="preserve">Address bit 4: DIP SW1 / header J5 (ON or jumper = 0)</t>
  </si>
  <si>
    <t xml:space="preserve">ADC2_IN5</t>
  </si>
  <si>
    <t xml:space="preserve">TIM1_ETR</t>
  </si>
  <si>
    <t xml:space="preserve">I2C2_SCL</t>
  </si>
  <si>
    <t xml:space="preserve">USART1_TX</t>
  </si>
  <si>
    <t xml:space="preserve">QUADSPI1_BK2_IO3</t>
  </si>
  <si>
    <t xml:space="preserve">PC5</t>
  </si>
  <si>
    <t xml:space="preserve">ADDR5</t>
  </si>
  <si>
    <t xml:space="preserve">R37.1, R43.2, SW1.6</t>
  </si>
  <si>
    <t xml:space="preserve">Address bit 5: DIP SW1 / header J5 (ON or jumper = 0)</t>
  </si>
  <si>
    <t xml:space="preserve">ADC2_IN11, OPAMP1_VINM, OPAMP1_VINM1, OPAMP1_VINM_SEC, OPAMP2_VINM, OPAMP2_VINM1, OPAMP2_VINM_SEC, SYS_WKUP5</t>
  </si>
  <si>
    <t xml:space="preserve">TIM15_BKIN</t>
  </si>
  <si>
    <t xml:space="preserve">SAI1_D3</t>
  </si>
  <si>
    <t xml:space="preserve">TIM1_CH4N</t>
  </si>
  <si>
    <t xml:space="preserve">USART1_RX</t>
  </si>
  <si>
    <t xml:space="preserve">HRTIM1_EEV10</t>
  </si>
  <si>
    <t xml:space="preserve">PB0</t>
  </si>
  <si>
    <t xml:space="preserve">IL_SNS</t>
  </si>
  <si>
    <t xml:space="preserve">COMP4_INP</t>
  </si>
  <si>
    <t xml:space="preserve">C45.1, R27.2, TP13.1</t>
  </si>
  <si>
    <t xml:space="preserve">Inductor current (INA181A1 on 4 mOhm, 1.65 V + 0.08 V/A): buck-mode negative OCP, COMP4 output inverted -&gt; HRTIM fault</t>
  </si>
  <si>
    <t xml:space="preserve">ADC1_IN15, ADC3_IN12, COMP4_INP, OPAMP2_VINP, OPAMP2_VINP_SEC, OPAMP3_VINP, OPAMP3_VINP_SEC</t>
  </si>
  <si>
    <t xml:space="preserve">TIM3_CH3</t>
  </si>
  <si>
    <t xml:space="preserve">TIM8_CH2N</t>
  </si>
  <si>
    <t xml:space="preserve">TIM1_CH2N</t>
  </si>
  <si>
    <t xml:space="preserve">QUADSPI1_BK1_IO1</t>
  </si>
  <si>
    <t xml:space="preserve">HRTIM1_FLT5</t>
  </si>
  <si>
    <t xml:space="preserve">PB1</t>
  </si>
  <si>
    <t xml:space="preserve">ADC1_IN12 + COMP1_INP</t>
  </si>
  <si>
    <t xml:space="preserve">Inductor current sample for CC loop; COMP1 = positive OCP -&gt; HRTIM fault (thresholds from DAC3)</t>
  </si>
  <si>
    <t xml:space="preserve">ADC1_IN12, ADC3_IN1, COMP1_INP, OPAMP3_VOUT, OPAMP6_VINM, OPAMP6_VINM1, OPAMP6_VINM_SEC</t>
  </si>
  <si>
    <t xml:space="preserve">TIM3_CH4</t>
  </si>
  <si>
    <t xml:space="preserve">TIM8_CH3N</t>
  </si>
  <si>
    <t xml:space="preserve">COMP4_OUT</t>
  </si>
  <si>
    <t xml:space="preserve">QUADSPI1_BK1_IO0</t>
  </si>
  <si>
    <t xml:space="preserve">LPUART1_DE / LPUART1_RTS</t>
  </si>
  <si>
    <t xml:space="preserve">HRTIM1_SCOUT</t>
  </si>
  <si>
    <t xml:space="preserve">PB2</t>
  </si>
  <si>
    <t xml:space="preserve">SP_PB2</t>
  </si>
  <si>
    <t xml:space="preserve">R97.1</t>
  </si>
  <si>
    <t xml:space="preserve">10k pull-down to GND (R97)</t>
  </si>
  <si>
    <t xml:space="preserve">ADC2_IN12, ADC3_EXTI2, ADC4_EXTI2, ADC5_EXTI2, COMP4_INM, OPAMP3_VINM, OPAMP3_VINM0, OPAMP3_VINM_SEC</t>
  </si>
  <si>
    <t xml:space="preserve">RTC_OUT2</t>
  </si>
  <si>
    <t xml:space="preserve">TIM20_CH1</t>
  </si>
  <si>
    <t xml:space="preserve">I2C3_SMBA</t>
  </si>
  <si>
    <t xml:space="preserve">HRTIM1_SCIN</t>
  </si>
  <si>
    <t xml:space="preserve">VSSA</t>
  </si>
  <si>
    <t xml:space="preserve">VREF+</t>
  </si>
  <si>
    <t xml:space="preserve">MonoIO</t>
  </si>
  <si>
    <t xml:space="preserve">+3V3A</t>
  </si>
  <si>
    <t xml:space="preserve">VREF+ input</t>
  </si>
  <si>
    <t xml:space="preserve">Tied to +3V3A (VREFBUF disabled); ADC/DAC full scale = 3.3 V</t>
  </si>
  <si>
    <t xml:space="preserve">VREFBUF_OUT</t>
  </si>
  <si>
    <t xml:space="preserve">VDDA</t>
  </si>
  <si>
    <t xml:space="preserve">Analog supply / reference</t>
  </si>
  <si>
    <t xml:space="preserve">VDDA and VREF+ from +3V3 via FB1; VREFBUF off, VREF+ used as input (1 uF + 100 nF)</t>
  </si>
  <si>
    <t xml:space="preserve">PB10</t>
  </si>
  <si>
    <t xml:space="preserve">SP_PB10</t>
  </si>
  <si>
    <t xml:space="preserve">R98.1</t>
  </si>
  <si>
    <t xml:space="preserve">10k pull-down to GND (R98)</t>
  </si>
  <si>
    <t xml:space="preserve">COMP5_INM, DAC1_EXTI10, DAC2_EXTI10, DAC3_EXTI10, DAC4_EXTI10, OPAMP3_VINM, OPAMP3_VINM1, OPAMP3_VINM_SEC, OPAMP4_VINM, OPAMP4_VINM0, OPAMP4_VINM_SEC</t>
  </si>
  <si>
    <t xml:space="preserve">USART3_TX</t>
  </si>
  <si>
    <t xml:space="preserve">HRTIM1_FLT3</t>
  </si>
  <si>
    <t xml:space="preserve">SAI1_SCK_A</t>
  </si>
  <si>
    <t xml:space="preserve">PB11</t>
  </si>
  <si>
    <t xml:space="preserve">VOUT_SNS</t>
  </si>
  <si>
    <t xml:space="preserve">ADC1_IN14 + COMP6_INP</t>
  </si>
  <si>
    <t xml:space="preserve">C42.1, R23.2, R24.1</t>
  </si>
  <si>
    <t xml:space="preserve">VOUT divider 100k/5.1k; COMP6 = fast hardware OVP (threshold from DAC3)</t>
  </si>
  <si>
    <t xml:space="preserve">ADC1_EXTI11, ADC1_IN14, ADC2_EXTI11, ADC2_IN14, COMP6_INP, OPAMP4_VINP, OPAMP4_VINP_SEC, OPAMP6_VOUT</t>
  </si>
  <si>
    <t xml:space="preserve">USART3_RX</t>
  </si>
  <si>
    <t xml:space="preserve">HRTIM1_FLT4</t>
  </si>
  <si>
    <t xml:space="preserve">PB12</t>
  </si>
  <si>
    <t xml:space="preserve">LLC_A</t>
  </si>
  <si>
    <t xml:space="preserve">HRTIM1_CHC1</t>
  </si>
  <si>
    <t xml:space="preserve">R79.1, U12.12</t>
  </si>
  <si>
    <t xml:space="preserve">LLC half-bridge high side via CA-IS3642 (U12) -&gt; UCC27211 (U10)</t>
  </si>
  <si>
    <t xml:space="preserve">ADC1_IN11, ADC4_IN3, COMP7_INM, OPAMP4_VOUT, OPAMP6_VINP, OPAMP6_VINP_SEC</t>
  </si>
  <si>
    <t xml:space="preserve">TIM5_ETR</t>
  </si>
  <si>
    <t xml:space="preserve">I2C2_SMBA</t>
  </si>
  <si>
    <t xml:space="preserve">USART3_CK</t>
  </si>
  <si>
    <t xml:space="preserve">FDCAN2_RX</t>
  </si>
  <si>
    <t xml:space="preserve">PB13</t>
  </si>
  <si>
    <t xml:space="preserve">LLC_B</t>
  </si>
  <si>
    <t xml:space="preserve">HRTIM1_CHC2</t>
  </si>
  <si>
    <t xml:space="preserve">R80.1, U12.11</t>
  </si>
  <si>
    <t xml:space="preserve">LLC half-bridge low side via U12 -&gt; U10</t>
  </si>
  <si>
    <t xml:space="preserve">ADC3_IN5, COMP5_INP, OPAMP3_VINP, OPAMP3_VINP_SEC, OPAMP4_VINP, OPAMP4_VINP_SEC, OPAMP6_VINP, OPAMP6_VINP_SEC</t>
  </si>
  <si>
    <t xml:space="preserve">USART3_CTS / USART3_NSS</t>
  </si>
  <si>
    <t xml:space="preserve">FDCAN2_TX</t>
  </si>
  <si>
    <t xml:space="preserve">PB14</t>
  </si>
  <si>
    <t xml:space="preserve">SR1_PWM</t>
  </si>
  <si>
    <t xml:space="preserve">HRTIM1_CHD1</t>
  </si>
  <si>
    <t xml:space="preserve">R73.1, U11.2</t>
  </si>
  <si>
    <t xml:space="preserve">Synchronous rectifier Q7 via UCC27524 (U11)</t>
  </si>
  <si>
    <t xml:space="preserve">ADC1_IN5, ADC4_IN4, COMP7_INP, OPAMP2_VINP, OPAMP2_VINP_SEC, OPAMP5_VINP, OPAMP5_VINP_SEC</t>
  </si>
  <si>
    <t xml:space="preserve">SPI2_MISO</t>
  </si>
  <si>
    <t xml:space="preserve">USART3_DE / USART3_RTS</t>
  </si>
  <si>
    <t xml:space="preserve">PB15</t>
  </si>
  <si>
    <t xml:space="preserve">SR2_PWM</t>
  </si>
  <si>
    <t xml:space="preserve">HRTIM1_CHD2</t>
  </si>
  <si>
    <t xml:space="preserve">R74.1, U11.4</t>
  </si>
  <si>
    <t xml:space="preserve">Synchronous rectifier Q8 via U11</t>
  </si>
  <si>
    <t xml:space="preserve">ADC1_EXTI15, ADC2_EXTI15, ADC2_IN15, ADC4_IN5, COMP6_INM, OPAMP5_VINM, OPAMP5_VINM0, OPAMP5_VINM_SEC</t>
  </si>
  <si>
    <t xml:space="preserve">I2S2_SD / SPI2_MOSI</t>
  </si>
  <si>
    <t xml:space="preserve">PC6</t>
  </si>
  <si>
    <t xml:space="preserve">SP_PC6</t>
  </si>
  <si>
    <t xml:space="preserve">R99.1</t>
  </si>
  <si>
    <t xml:space="preserve">10k pull-down to GND (R99)</t>
  </si>
  <si>
    <t xml:space="preserve">TIM8_CH1</t>
  </si>
  <si>
    <t xml:space="preserve">I2S2_MCK</t>
  </si>
  <si>
    <t xml:space="preserve">COMP6_OUT</t>
  </si>
  <si>
    <t xml:space="preserve">I2C4_SCL</t>
  </si>
  <si>
    <t xml:space="preserve">HRTIM1_CHF1</t>
  </si>
  <si>
    <t xml:space="preserve">PC7</t>
  </si>
  <si>
    <t xml:space="preserve">SP_PC7</t>
  </si>
  <si>
    <t xml:space="preserve">R100.1</t>
  </si>
  <si>
    <t xml:space="preserve">10k pull-down to GND (R100)</t>
  </si>
  <si>
    <t xml:space="preserve">TIM8_CH2</t>
  </si>
  <si>
    <t xml:space="preserve">I2S3_MCK</t>
  </si>
  <si>
    <t xml:space="preserve">COMP5_OUT</t>
  </si>
  <si>
    <t xml:space="preserve">I2C4_SDA</t>
  </si>
  <si>
    <t xml:space="preserve">HRTIM1_CHF2</t>
  </si>
  <si>
    <t xml:space="preserve">PC8</t>
  </si>
  <si>
    <t xml:space="preserve">PWM_E1</t>
  </si>
  <si>
    <t xml:space="preserve">HRTIM1_CHE1</t>
  </si>
  <si>
    <t xml:space="preserve">R14.1, U3.5</t>
  </si>
  <si>
    <t xml:space="preserve">4SBB output leg high side Q3 via UCC27211 (U3)</t>
  </si>
  <si>
    <t xml:space="preserve">TIM8_CH3</t>
  </si>
  <si>
    <t xml:space="preserve">TIM20_CH3</t>
  </si>
  <si>
    <t xml:space="preserve">COMP7_OUT</t>
  </si>
  <si>
    <t xml:space="preserve">I2C3_SCL</t>
  </si>
  <si>
    <t xml:space="preserve">PC9</t>
  </si>
  <si>
    <t xml:space="preserve">PWM_E2</t>
  </si>
  <si>
    <t xml:space="preserve">HRTIM1_CHE2</t>
  </si>
  <si>
    <t xml:space="preserve">R15.1, U3.6</t>
  </si>
  <si>
    <t xml:space="preserve">4SBB output leg low side Q4 via U3</t>
  </si>
  <si>
    <t xml:space="preserve">DAC1_EXTI9, DAC2_EXTI9, DAC3_EXTI9, DAC4_EXTI9</t>
  </si>
  <si>
    <t xml:space="preserve">TIM8_CH4</t>
  </si>
  <si>
    <t xml:space="preserve">I2S_CKIN</t>
  </si>
  <si>
    <t xml:space="preserve">TIM8_BKIN2</t>
  </si>
  <si>
    <t xml:space="preserve">I2C3_SDA</t>
  </si>
  <si>
    <t xml:space="preserve">PA8</t>
  </si>
  <si>
    <t xml:space="preserve">PWM_A1</t>
  </si>
  <si>
    <t xml:space="preserve">HRTIM1_CHA1</t>
  </si>
  <si>
    <t xml:space="preserve">R8.1, U2.5</t>
  </si>
  <si>
    <t xml:space="preserve">4SBB input leg high side Q1 via UCC27211 (U2)</t>
  </si>
  <si>
    <t xml:space="preserve">ADC5_IN1, OPAMP5_VOUT</t>
  </si>
  <si>
    <t xml:space="preserve">USART1_CK</t>
  </si>
  <si>
    <t xml:space="preserve">TIM4_ETR</t>
  </si>
  <si>
    <t xml:space="preserve">FDCAN3_RX</t>
  </si>
  <si>
    <t xml:space="preserve">SAI1_CK2</t>
  </si>
  <si>
    <t xml:space="preserve">PA9</t>
  </si>
  <si>
    <t xml:space="preserve">PWM_A2</t>
  </si>
  <si>
    <t xml:space="preserve">HRTIM1_CHA2</t>
  </si>
  <si>
    <t xml:space="preserve">R9.1, U2.6</t>
  </si>
  <si>
    <t xml:space="preserve">4SBB input leg low side Q2 via U2</t>
  </si>
  <si>
    <t xml:space="preserve">ADC5_IN2, DAC1_EXTI9, DAC2_EXTI9, DAC3_EXTI9, DAC4_EXTI9, UCPD1_DBCC1</t>
  </si>
  <si>
    <t xml:space="preserve">SAI1_FS_A</t>
  </si>
  <si>
    <t xml:space="preserve">PA10</t>
  </si>
  <si>
    <t xml:space="preserve">SP_PA10</t>
  </si>
  <si>
    <t xml:space="preserve">R101.1</t>
  </si>
  <si>
    <t xml:space="preserve">10k pull-down to GND (R101)</t>
  </si>
  <si>
    <t xml:space="preserve">DAC1_EXTI10, DAC2_EXTI10, DAC3_EXTI10, DAC4_EXTI10, UCPD1_DBCC2</t>
  </si>
  <si>
    <t xml:space="preserve">TIM17_BKIN</t>
  </si>
  <si>
    <t xml:space="preserve">CRS_SYNC</t>
  </si>
  <si>
    <t xml:space="preserve">HRTIM1_CHB1</t>
  </si>
  <si>
    <t xml:space="preserve">PA11</t>
  </si>
  <si>
    <t xml:space="preserve">CAN_RXD</t>
  </si>
  <si>
    <t xml:space="preserve">FDCAN1_RX</t>
  </si>
  <si>
    <t xml:space="preserve">U9.5</t>
  </si>
  <si>
    <t xml:space="preserve">CA-IS3062VW (U9) RXD</t>
  </si>
  <si>
    <t xml:space="preserve">ADC1_EXTI11, ADC2_EXTI11, USB_DM</t>
  </si>
  <si>
    <t xml:space="preserve">USART1_CTS / USART1_NSS</t>
  </si>
  <si>
    <t xml:space="preserve">TIM4_CH1</t>
  </si>
  <si>
    <t xml:space="preserve">HRTIM1_CHB2</t>
  </si>
  <si>
    <t xml:space="preserve">PA12</t>
  </si>
  <si>
    <t xml:space="preserve">CAN_TXD</t>
  </si>
  <si>
    <t xml:space="preserve">FDCAN1_TX</t>
  </si>
  <si>
    <t xml:space="preserve">U9.3</t>
  </si>
  <si>
    <t xml:space="preserve">CA-IS3062VW (U9) TXD</t>
  </si>
  <si>
    <t xml:space="preserve">USB_DP</t>
  </si>
  <si>
    <t xml:space="preserve">USART1_DE / USART1_RTS</t>
  </si>
  <si>
    <t xml:space="preserve">TIM4_CH2</t>
  </si>
  <si>
    <t xml:space="preserve">HRTIM1_FLT1</t>
  </si>
  <si>
    <t xml:space="preserve">PA13</t>
  </si>
  <si>
    <t xml:space="preserve">SWDIO</t>
  </si>
  <si>
    <t xml:space="preserve">SYS_JTMS-SWDIO</t>
  </si>
  <si>
    <t xml:space="preserve">AF0 (reset default)</t>
  </si>
  <si>
    <t xml:space="preserve">J6.1, J7.2</t>
  </si>
  <si>
    <t xml:space="preserve">J6.1 / J7.2</t>
  </si>
  <si>
    <t xml:space="preserve">TIM16_CH1N</t>
  </si>
  <si>
    <t xml:space="preserve">I2C1_SCL</t>
  </si>
  <si>
    <t xml:space="preserve">IR_OUT</t>
  </si>
  <si>
    <t xml:space="preserve">TIM4_CH3</t>
  </si>
  <si>
    <t xml:space="preserve">SAI1_SD_B</t>
  </si>
  <si>
    <t xml:space="preserve">PA14</t>
  </si>
  <si>
    <t xml:space="preserve">SWCLK</t>
  </si>
  <si>
    <t xml:space="preserve">SYS_JTCK-SWCLK</t>
  </si>
  <si>
    <t xml:space="preserve">J6.2, J7.4</t>
  </si>
  <si>
    <t xml:space="preserve">J6.2 / J7.4</t>
  </si>
  <si>
    <t xml:space="preserve">I2C4_SMBA</t>
  </si>
  <si>
    <t xml:space="preserve">I2C1_SDA</t>
  </si>
  <si>
    <t xml:space="preserve">PA15</t>
  </si>
  <si>
    <t xml:space="preserve">VIN_OVP</t>
  </si>
  <si>
    <t xml:space="preserve">HRTIM1_FLT2 (alt.: GPIO EXTI15)</t>
  </si>
  <si>
    <t xml:space="preserve">TP15.1, U12.14</t>
  </si>
  <si>
    <t xml:space="preserve">Rev D: primary input OVP, LMV331 + TL431 trip 50.2 V, through U12 VI1-&gt;VO1; high = over-voltage. Configure FLT2 active-high so the HRTIM shuts all outputs in hardware</t>
  </si>
  <si>
    <t xml:space="preserve">ADC1_EXTI15, ADC2_EXTI15</t>
  </si>
  <si>
    <t xml:space="preserve">SYS_JTDI</t>
  </si>
  <si>
    <t xml:space="preserve">UART4_DE / UART4_RTS</t>
  </si>
  <si>
    <t xml:space="preserve">FDCAN3_TX</t>
  </si>
  <si>
    <t xml:space="preserve">HRTIM1_FLT2</t>
  </si>
  <si>
    <t xml:space="preserve">PC10</t>
  </si>
  <si>
    <t xml:space="preserve">LED_FLT</t>
  </si>
  <si>
    <t xml:space="preserve">GPIO output</t>
  </si>
  <si>
    <t xml:space="preserve">Output push-pull</t>
  </si>
  <si>
    <t xml:space="preserve">R45.2</t>
  </si>
  <si>
    <t xml:space="preserve">Red FAULT LED D5 via 1k, active low</t>
  </si>
  <si>
    <t xml:space="preserve">UART4_TX</t>
  </si>
  <si>
    <t xml:space="preserve">I2S3_CK / SPI3_SCK</t>
  </si>
  <si>
    <t xml:space="preserve">HRTIM1_FLT6</t>
  </si>
  <si>
    <t xml:space="preserve">PC11</t>
  </si>
  <si>
    <t xml:space="preserve">SR_EN</t>
  </si>
  <si>
    <t xml:space="preserve">R72.1, U11.1, U11.8</t>
  </si>
  <si>
    <t xml:space="preserve">UCC27524 ENA/ENB, high = SR drive enabled; 10k pull-downs keep it off at reset</t>
  </si>
  <si>
    <t xml:space="preserve">ADC1_EXTI11, ADC2_EXTI11</t>
  </si>
  <si>
    <t xml:space="preserve">HRTIM1_EEV2</t>
  </si>
  <si>
    <t xml:space="preserve">UART4_RX</t>
  </si>
  <si>
    <t xml:space="preserve">SPI3_MISO</t>
  </si>
  <si>
    <t xml:space="preserve">PC12</t>
  </si>
  <si>
    <t xml:space="preserve">SP_PC12</t>
  </si>
  <si>
    <t xml:space="preserve">R102.1</t>
  </si>
  <si>
    <t xml:space="preserve">10k pull-down to GND (R102)</t>
  </si>
  <si>
    <t xml:space="preserve">HRTIM1_EEV1</t>
  </si>
  <si>
    <t xml:space="preserve">UART5_TX</t>
  </si>
  <si>
    <t xml:space="preserve">I2S3_SD / SPI3_MOSI</t>
  </si>
  <si>
    <t xml:space="preserve">PD2</t>
  </si>
  <si>
    <t xml:space="preserve">SP_PD2</t>
  </si>
  <si>
    <t xml:space="preserve">R103.1</t>
  </si>
  <si>
    <t xml:space="preserve">10k pull-down to GND (R103)</t>
  </si>
  <si>
    <t xml:space="preserve">ADC3_EXTI2, ADC4_EXTI2, ADC5_EXTI2</t>
  </si>
  <si>
    <t xml:space="preserve">TIM3_ETR</t>
  </si>
  <si>
    <t xml:space="preserve">UART5_RX</t>
  </si>
  <si>
    <t xml:space="preserve">PB3</t>
  </si>
  <si>
    <t xml:space="preserve">SWO</t>
  </si>
  <si>
    <t xml:space="preserve">SYS_JTDO-SWO</t>
  </si>
  <si>
    <t xml:space="preserve">J7.6</t>
  </si>
  <si>
    <t xml:space="preserve">J7.6 trace output</t>
  </si>
  <si>
    <t xml:space="preserve">ADC3_EXTI3, ADC4_EXTI3, ADC5_EXTI3</t>
  </si>
  <si>
    <t xml:space="preserve">HRTIM1_EEV9</t>
  </si>
  <si>
    <t xml:space="preserve">SAI1_SCK_B</t>
  </si>
  <si>
    <t xml:space="preserve">PB4</t>
  </si>
  <si>
    <t xml:space="preserve">SP_PB4</t>
  </si>
  <si>
    <t xml:space="preserve">R104.1</t>
  </si>
  <si>
    <t xml:space="preserve">10k pull-down to GND (R104); PB4 = NJTRST with internal pull-up at reset - harmless, JTAG unused (SWD only)</t>
  </si>
  <si>
    <t xml:space="preserve">UCPD1_CC2</t>
  </si>
  <si>
    <t xml:space="preserve">SYS_JTRST</t>
  </si>
  <si>
    <t xml:space="preserve">UART5_DE / UART5_RTS</t>
  </si>
  <si>
    <t xml:space="preserve">HRTIM1_EEV7</t>
  </si>
  <si>
    <t xml:space="preserve">SAI1_MCLK_B</t>
  </si>
  <si>
    <t xml:space="preserve">PB5</t>
  </si>
  <si>
    <t xml:space="preserve">SP_PB5</t>
  </si>
  <si>
    <t xml:space="preserve">R105.1</t>
  </si>
  <si>
    <t xml:space="preserve">10k pull-down to GND (R105)</t>
  </si>
  <si>
    <t xml:space="preserve">TIM16_BKIN</t>
  </si>
  <si>
    <t xml:space="preserve">I2C1_SMBA</t>
  </si>
  <si>
    <t xml:space="preserve">HRTIM1_EEV6</t>
  </si>
  <si>
    <t xml:space="preserve">UART5_CTS</t>
  </si>
  <si>
    <t xml:space="preserve">PB6</t>
  </si>
  <si>
    <t xml:space="preserve">TP_GPIO1</t>
  </si>
  <si>
    <t xml:space="preserve">GPIO</t>
  </si>
  <si>
    <t xml:space="preserve">Output (debug)</t>
  </si>
  <si>
    <t xml:space="preserve">J6.4</t>
  </si>
  <si>
    <t xml:space="preserve">Test_pin_GPIO1 on J6.4 (timing / debug)</t>
  </si>
  <si>
    <t xml:space="preserve">UCPD1_CC1</t>
  </si>
  <si>
    <t xml:space="preserve">HRTIM1_EEV4</t>
  </si>
  <si>
    <t xml:space="preserve">PB7</t>
  </si>
  <si>
    <t xml:space="preserve">TP_GPIO2</t>
  </si>
  <si>
    <t xml:space="preserve">J6.5</t>
  </si>
  <si>
    <t xml:space="preserve">Test_pin_GPIO2 on J6.5 (timing / debug)</t>
  </si>
  <si>
    <t xml:space="preserve">SYS_PVD_IN</t>
  </si>
  <si>
    <t xml:space="preserve">TIM17_CH1N</t>
  </si>
  <si>
    <t xml:space="preserve">FMC_NL</t>
  </si>
  <si>
    <t xml:space="preserve">HRTIM1_EEV3</t>
  </si>
  <si>
    <t xml:space="preserve">UART4_CTS</t>
  </si>
  <si>
    <t xml:space="preserve">PB8-BOOT0</t>
  </si>
  <si>
    <t xml:space="preserve">BOOT0</t>
  </si>
  <si>
    <t xml:space="preserve">Boot pin</t>
  </si>
  <si>
    <t xml:space="preserve">R20.1</t>
  </si>
  <si>
    <t xml:space="preserve">10k to GND (R20) -&gt; boot from flash; nSWBOOT0 option bit may override</t>
  </si>
  <si>
    <t xml:space="preserve">HRTIM1_EEV8</t>
  </si>
  <si>
    <t xml:space="preserve">PB9</t>
  </si>
  <si>
    <t xml:space="preserve">LED_RUN</t>
  </si>
  <si>
    <t xml:space="preserve">R44.2</t>
  </si>
  <si>
    <t xml:space="preserve">Green RUN LED D4 via 1k, active low</t>
  </si>
  <si>
    <t xml:space="preserve">TIM4_CH4</t>
  </si>
  <si>
    <t xml:space="preserve">SAI1_D2</t>
  </si>
  <si>
    <t xml:space="preserve">HRTIM1_EEV5</t>
  </si>
  <si>
    <t xml:space="preserve">STM32G474RBT6 (LQFP64) pin usage - DCDC LLC + 4SBB, Rev D</t>
  </si>
  <si>
    <t xml:space="preserve">Pins</t>
  </si>
  <si>
    <t xml:space="preserve">Unused (10k pull-down)</t>
  </si>
  <si>
    <t xml:space="preserve">Power / ground</t>
  </si>
  <si>
    <t xml:space="preserve">Total</t>
  </si>
  <si>
    <t xml:space="preserve">Check (must be 64)</t>
  </si>
  <si>
    <t xml:space="preserve">Peripheral resources in use</t>
  </si>
  <si>
    <t xml:space="preserve">Peripheral</t>
  </si>
  <si>
    <t xml:space="preserve">Signals (pin)</t>
  </si>
  <si>
    <t xml:space="preserve">HRTIM1 Timer A</t>
  </si>
  <si>
    <t xml:space="preserve">CHA1 PA8, CHA2 PA9 (AF13) - 4SBB input leg, 150 kHz</t>
  </si>
  <si>
    <t xml:space="preserve">HRTIM1 Timer E</t>
  </si>
  <si>
    <t xml:space="preserve">CHE1 PC8, CHE2 PC9 (AF3) - 4SBB output leg, 150 kHz</t>
  </si>
  <si>
    <t xml:space="preserve">HRTIM1 Timer C</t>
  </si>
  <si>
    <t xml:space="preserve">CHC1 PB12, CHC2 PB13 (AF13) - LLC half-bridge, ~205 kHz</t>
  </si>
  <si>
    <t xml:space="preserve">HRTIM1 Timer D</t>
  </si>
  <si>
    <t xml:space="preserve">CHD1 PB14, CHD2 PB15 (AF13) - synchronous rectifiers</t>
  </si>
  <si>
    <t xml:space="preserve">HRTIM1 faults</t>
  </si>
  <si>
    <t xml:space="preserve">FLT2 PA15 (AF13) = input OVP; internal COMP1/COMP4/COMP6 outputs as fault sources</t>
  </si>
  <si>
    <t xml:space="preserve">ADC1</t>
  </si>
  <si>
    <t xml:space="preserve">IN1 PA0 VBUS, IN2 PA1 IOUT, IN12 PB1 IL, IN14 PB11 VOUT</t>
  </si>
  <si>
    <t xml:space="preserve">ADC2</t>
  </si>
  <si>
    <t xml:space="preserve">IN3 PA6 NTC</t>
  </si>
  <si>
    <t xml:space="preserve">COMP1 / COMP4 / COMP6</t>
  </si>
  <si>
    <t xml:space="preserve">INP PB1 (+OCP), INP PB0 (-OCP), INP PB11 (VOUT OVP); INM from DAC3 channels</t>
  </si>
  <si>
    <t xml:space="preserve">DAC1</t>
  </si>
  <si>
    <t xml:space="preserve">OUT2 PA5 = Test_pin_DAC; OUT1 PA4 reserved</t>
  </si>
  <si>
    <t xml:space="preserve">DAC3 (internal)</t>
  </si>
  <si>
    <t xml:space="preserve">Comparator thresholds, no pins</t>
  </si>
  <si>
    <t xml:space="preserve">FDCAN1</t>
  </si>
  <si>
    <t xml:space="preserve">RX PA11, TX PA12 (AF9) -&gt; isolated CAN</t>
  </si>
  <si>
    <t xml:space="preserve">SWD</t>
  </si>
  <si>
    <t xml:space="preserve">SWDIO PA13, SWCLK PA14, SWO PB3, NRST</t>
  </si>
  <si>
    <t xml:space="preserve">RCC</t>
  </si>
  <si>
    <t xml:space="preserve">HSE 16 MHz crystal PF0/PF1 -&gt; PLL 170 MHz</t>
  </si>
  <si>
    <t xml:space="preserve">ADDR0-5 PC0-PC5 (in), LED_RUN PB9, LED_FLT PC10, SR_EN PC11, TP_GPIO1/2 PB6/PB7</t>
  </si>
  <si>
    <t xml:space="preserve">Legend: green = used, blue = reserved, grey = unused (10k pull-down), yellow = power. Pin-map columns K-AA copied from the ST pin database.</t>
  </si>
  <si>
    <t xml:space="preserve">Source: STMicroelectronics STM32_open_pin_data (CubeMX DB) - mcu/STM32G474R(B-C-E)Tx.xml and mcu/IP/GPIO-STM32G47x_gpio_v1_0_Modes.xml; matches datasheet DS12288 pin definition and alternate-function tables.</t>
  </si>
  <si>
    <t xml:space="preserve">Design columns D-J generated from the Rev D netlist (design.py, U1). Edit the netlist, not this sheet, and regenerate.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</si>
</sst>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FFFFFF"/>
      <name val="Arial"/>
      <family val="0"/>
      <charset val="1"/>
    </font>
    <font>
      <sz val="9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EDEDED"/>
      </patternFill>
    </fill>
    <fill>
      <patternFill patternType="solid">
        <fgColor rgb="FFEDEDED"/>
        <bgColor rgb="FFE2EFDA"/>
      </patternFill>
    </fill>
    <fill>
      <patternFill patternType="solid">
        <fgColor rgb="FFE2EFDA"/>
        <bgColor rgb="FFEDEDED"/>
      </patternFill>
    </fill>
    <fill>
      <patternFill patternType="solid">
        <fgColor rgb="FFDDEBF7"/>
        <bgColor rgb="FFEDEDE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3864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6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6"/>
    <col collapsed="false" customWidth="true" hidden="false" outlineLevel="0" max="3" min="3" style="0" width="8"/>
    <col collapsed="false" customWidth="true" hidden="false" outlineLevel="0" max="4" min="4" style="0" width="13"/>
    <col collapsed="false" customWidth="true" hidden="false" outlineLevel="0" max="5" min="5" style="0" width="9"/>
    <col collapsed="false" customWidth="true" hidden="false" outlineLevel="0" max="6" min="6" style="0" width="24"/>
    <col collapsed="false" customWidth="true" hidden="false" outlineLevel="0" max="7" min="7" style="0" width="17"/>
    <col collapsed="false" customWidth="true" hidden="false" outlineLevel="0" max="8" min="8" style="0" width="9"/>
    <col collapsed="false" customWidth="true" hidden="false" outlineLevel="0" max="9" min="9" style="0" width="26"/>
    <col collapsed="false" customWidth="true" hidden="false" outlineLevel="0" max="10" min="10" style="0" width="46"/>
    <col collapsed="false" customWidth="true" hidden="false" outlineLevel="0" max="11" min="11" style="0" width="40"/>
    <col collapsed="false" customWidth="true" hidden="false" outlineLevel="0" max="27" min="12" style="0" width="14"/>
  </cols>
  <sheetData>
    <row r="1" customFormat="false" ht="30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</row>
    <row r="2" customFormat="false" ht="22.35" hidden="false" customHeight="false" outlineLevel="0" collapsed="false">
      <c r="A2" s="2" t="n">
        <v>1</v>
      </c>
      <c r="B2" s="3" t="s">
        <v>27</v>
      </c>
      <c r="C2" s="2" t="s">
        <v>28</v>
      </c>
      <c r="D2" s="3" t="s">
        <v>29</v>
      </c>
      <c r="E2" s="2" t="s">
        <v>28</v>
      </c>
      <c r="F2" s="3" t="s">
        <v>30</v>
      </c>
      <c r="G2" s="3" t="s">
        <v>28</v>
      </c>
      <c r="H2" s="2" t="s">
        <v>31</v>
      </c>
      <c r="I2" s="3"/>
      <c r="J2" s="3" t="s">
        <v>32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</row>
    <row r="3" customFormat="false" ht="22.35" hidden="false" customHeight="false" outlineLevel="0" collapsed="false">
      <c r="A3" s="5" t="n">
        <v>2</v>
      </c>
      <c r="B3" s="6" t="s">
        <v>33</v>
      </c>
      <c r="C3" s="5" t="s">
        <v>34</v>
      </c>
      <c r="D3" s="6" t="s">
        <v>35</v>
      </c>
      <c r="E3" s="5" t="s">
        <v>36</v>
      </c>
      <c r="F3" s="6" t="s">
        <v>37</v>
      </c>
      <c r="G3" s="6" t="s">
        <v>38</v>
      </c>
      <c r="H3" s="5" t="s">
        <v>39</v>
      </c>
      <c r="I3" s="6" t="s">
        <v>40</v>
      </c>
      <c r="J3" s="6" t="s">
        <v>41</v>
      </c>
      <c r="K3" s="4" t="s">
        <v>42</v>
      </c>
      <c r="L3" s="4"/>
      <c r="M3" s="4"/>
      <c r="N3" s="4" t="s">
        <v>43</v>
      </c>
      <c r="O3" s="4"/>
      <c r="P3" s="4" t="s">
        <v>44</v>
      </c>
      <c r="Q3" s="4"/>
      <c r="R3" s="4" t="s">
        <v>45</v>
      </c>
      <c r="S3" s="4"/>
      <c r="T3" s="4"/>
      <c r="U3" s="4"/>
      <c r="V3" s="4"/>
      <c r="W3" s="4"/>
      <c r="X3" s="4"/>
      <c r="Y3" s="4"/>
      <c r="Z3" s="4"/>
      <c r="AA3" s="4" t="s">
        <v>46</v>
      </c>
    </row>
    <row r="4" customFormat="false" ht="22.35" hidden="false" customHeight="false" outlineLevel="0" collapsed="false">
      <c r="A4" s="5" t="n">
        <v>3</v>
      </c>
      <c r="B4" s="6" t="s">
        <v>47</v>
      </c>
      <c r="C4" s="5" t="s">
        <v>34</v>
      </c>
      <c r="D4" s="6" t="s">
        <v>48</v>
      </c>
      <c r="E4" s="5" t="s">
        <v>36</v>
      </c>
      <c r="F4" s="6" t="s">
        <v>37</v>
      </c>
      <c r="G4" s="6" t="s">
        <v>38</v>
      </c>
      <c r="H4" s="5" t="s">
        <v>39</v>
      </c>
      <c r="I4" s="6" t="s">
        <v>49</v>
      </c>
      <c r="J4" s="6" t="s">
        <v>50</v>
      </c>
      <c r="K4" s="4" t="s">
        <v>51</v>
      </c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 t="s">
        <v>46</v>
      </c>
    </row>
    <row r="5" customFormat="false" ht="22.35" hidden="false" customHeight="false" outlineLevel="0" collapsed="false">
      <c r="A5" s="5" t="n">
        <v>4</v>
      </c>
      <c r="B5" s="6" t="s">
        <v>52</v>
      </c>
      <c r="C5" s="5" t="s">
        <v>34</v>
      </c>
      <c r="D5" s="6" t="s">
        <v>53</v>
      </c>
      <c r="E5" s="5" t="s">
        <v>36</v>
      </c>
      <c r="F5" s="6" t="s">
        <v>37</v>
      </c>
      <c r="G5" s="6" t="s">
        <v>38</v>
      </c>
      <c r="H5" s="5" t="s">
        <v>39</v>
      </c>
      <c r="I5" s="6" t="s">
        <v>54</v>
      </c>
      <c r="J5" s="6" t="s">
        <v>55</v>
      </c>
      <c r="K5" s="4" t="s">
        <v>56</v>
      </c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 t="s">
        <v>46</v>
      </c>
    </row>
    <row r="6" customFormat="false" ht="22.35" hidden="false" customHeight="false" outlineLevel="0" collapsed="false">
      <c r="A6" s="7" t="n">
        <v>5</v>
      </c>
      <c r="B6" s="8" t="s">
        <v>57</v>
      </c>
      <c r="C6" s="7" t="s">
        <v>34</v>
      </c>
      <c r="D6" s="8" t="s">
        <v>58</v>
      </c>
      <c r="E6" s="7" t="s">
        <v>59</v>
      </c>
      <c r="F6" s="9" t="s">
        <v>60</v>
      </c>
      <c r="G6" s="9" t="s">
        <v>61</v>
      </c>
      <c r="H6" s="7" t="s">
        <v>62</v>
      </c>
      <c r="I6" s="8" t="s">
        <v>63</v>
      </c>
      <c r="J6" s="8" t="s">
        <v>64</v>
      </c>
      <c r="K6" s="4" t="s">
        <v>65</v>
      </c>
      <c r="L6" s="4"/>
      <c r="M6" s="4"/>
      <c r="N6" s="4"/>
      <c r="O6" s="4"/>
      <c r="P6" s="4" t="s">
        <v>66</v>
      </c>
      <c r="Q6" s="4" t="s">
        <v>67</v>
      </c>
      <c r="R6" s="4" t="s">
        <v>68</v>
      </c>
      <c r="S6" s="4"/>
      <c r="T6" s="4"/>
      <c r="U6" s="4"/>
      <c r="V6" s="4"/>
      <c r="W6" s="4"/>
      <c r="X6" s="4"/>
      <c r="Y6" s="4"/>
      <c r="Z6" s="4"/>
      <c r="AA6" s="4" t="s">
        <v>46</v>
      </c>
    </row>
    <row r="7" customFormat="false" ht="22.35" hidden="false" customHeight="false" outlineLevel="0" collapsed="false">
      <c r="A7" s="7" t="n">
        <v>6</v>
      </c>
      <c r="B7" s="8" t="s">
        <v>69</v>
      </c>
      <c r="C7" s="7" t="s">
        <v>34</v>
      </c>
      <c r="D7" s="8" t="s">
        <v>70</v>
      </c>
      <c r="E7" s="7" t="s">
        <v>59</v>
      </c>
      <c r="F7" s="9" t="s">
        <v>71</v>
      </c>
      <c r="G7" s="9" t="s">
        <v>61</v>
      </c>
      <c r="H7" s="7" t="s">
        <v>72</v>
      </c>
      <c r="I7" s="8" t="s">
        <v>73</v>
      </c>
      <c r="J7" s="8" t="s">
        <v>74</v>
      </c>
      <c r="K7" s="4" t="s">
        <v>75</v>
      </c>
      <c r="L7" s="4"/>
      <c r="M7" s="4"/>
      <c r="N7" s="4"/>
      <c r="O7" s="4"/>
      <c r="P7" s="4"/>
      <c r="Q7" s="4" t="s">
        <v>76</v>
      </c>
      <c r="R7" s="4"/>
      <c r="S7" s="4"/>
      <c r="T7" s="4"/>
      <c r="U7" s="4"/>
      <c r="V7" s="4"/>
      <c r="W7" s="4"/>
      <c r="X7" s="4"/>
      <c r="Y7" s="4"/>
      <c r="Z7" s="4"/>
      <c r="AA7" s="4" t="s">
        <v>46</v>
      </c>
    </row>
    <row r="8" customFormat="false" ht="22.35" hidden="false" customHeight="false" outlineLevel="0" collapsed="false">
      <c r="A8" s="7" t="n">
        <v>7</v>
      </c>
      <c r="B8" s="8" t="s">
        <v>77</v>
      </c>
      <c r="C8" s="7" t="s">
        <v>34</v>
      </c>
      <c r="D8" s="8" t="s">
        <v>78</v>
      </c>
      <c r="E8" s="7" t="s">
        <v>59</v>
      </c>
      <c r="F8" s="9" t="s">
        <v>78</v>
      </c>
      <c r="G8" s="9" t="s">
        <v>79</v>
      </c>
      <c r="H8" s="7" t="s">
        <v>80</v>
      </c>
      <c r="I8" s="8" t="s">
        <v>81</v>
      </c>
      <c r="J8" s="8" t="s">
        <v>82</v>
      </c>
      <c r="K8" s="4" t="s">
        <v>83</v>
      </c>
      <c r="L8" s="4" t="s">
        <v>84</v>
      </c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 t="s">
        <v>46</v>
      </c>
    </row>
    <row r="9" customFormat="false" ht="22.35" hidden="false" customHeight="false" outlineLevel="0" collapsed="false">
      <c r="A9" s="7" t="n">
        <v>8</v>
      </c>
      <c r="B9" s="8" t="s">
        <v>85</v>
      </c>
      <c r="C9" s="7" t="s">
        <v>34</v>
      </c>
      <c r="D9" s="8" t="s">
        <v>86</v>
      </c>
      <c r="E9" s="7" t="s">
        <v>59</v>
      </c>
      <c r="F9" s="9" t="s">
        <v>87</v>
      </c>
      <c r="G9" s="9" t="s">
        <v>88</v>
      </c>
      <c r="H9" s="7" t="s">
        <v>62</v>
      </c>
      <c r="I9" s="8" t="s">
        <v>89</v>
      </c>
      <c r="J9" s="8" t="s">
        <v>90</v>
      </c>
      <c r="K9" s="4" t="s">
        <v>91</v>
      </c>
      <c r="L9" s="4"/>
      <c r="M9" s="4" t="s">
        <v>92</v>
      </c>
      <c r="N9" s="4" t="s">
        <v>93</v>
      </c>
      <c r="O9" s="4"/>
      <c r="P9" s="4"/>
      <c r="Q9" s="4"/>
      <c r="R9" s="4"/>
      <c r="S9" s="4"/>
      <c r="T9" s="4" t="s">
        <v>94</v>
      </c>
      <c r="U9" s="4"/>
      <c r="V9" s="4"/>
      <c r="W9" s="4"/>
      <c r="X9" s="4"/>
      <c r="Y9" s="4"/>
      <c r="Z9" s="4"/>
      <c r="AA9" s="4" t="s">
        <v>46</v>
      </c>
    </row>
    <row r="10" customFormat="false" ht="22.35" hidden="false" customHeight="false" outlineLevel="0" collapsed="false">
      <c r="A10" s="7" t="n">
        <v>9</v>
      </c>
      <c r="B10" s="8" t="s">
        <v>95</v>
      </c>
      <c r="C10" s="7" t="s">
        <v>34</v>
      </c>
      <c r="D10" s="8" t="s">
        <v>96</v>
      </c>
      <c r="E10" s="7" t="s">
        <v>59</v>
      </c>
      <c r="F10" s="9" t="s">
        <v>87</v>
      </c>
      <c r="G10" s="9" t="s">
        <v>88</v>
      </c>
      <c r="H10" s="7" t="s">
        <v>62</v>
      </c>
      <c r="I10" s="8" t="s">
        <v>97</v>
      </c>
      <c r="J10" s="8" t="s">
        <v>98</v>
      </c>
      <c r="K10" s="4" t="s">
        <v>99</v>
      </c>
      <c r="L10" s="4"/>
      <c r="M10" s="4" t="s">
        <v>100</v>
      </c>
      <c r="N10" s="4" t="s">
        <v>101</v>
      </c>
      <c r="O10" s="4"/>
      <c r="P10" s="4"/>
      <c r="Q10" s="4"/>
      <c r="R10" s="4"/>
      <c r="S10" s="4"/>
      <c r="T10" s="4" t="s">
        <v>102</v>
      </c>
      <c r="U10" s="4"/>
      <c r="V10" s="4" t="s">
        <v>103</v>
      </c>
      <c r="W10" s="4"/>
      <c r="X10" s="4"/>
      <c r="Y10" s="4" t="s">
        <v>104</v>
      </c>
      <c r="Z10" s="4"/>
      <c r="AA10" s="4" t="s">
        <v>46</v>
      </c>
    </row>
    <row r="11" customFormat="false" ht="22.35" hidden="false" customHeight="false" outlineLevel="0" collapsed="false">
      <c r="A11" s="7" t="n">
        <v>10</v>
      </c>
      <c r="B11" s="8" t="s">
        <v>105</v>
      </c>
      <c r="C11" s="7" t="s">
        <v>34</v>
      </c>
      <c r="D11" s="8" t="s">
        <v>106</v>
      </c>
      <c r="E11" s="7" t="s">
        <v>59</v>
      </c>
      <c r="F11" s="9" t="s">
        <v>87</v>
      </c>
      <c r="G11" s="9" t="s">
        <v>88</v>
      </c>
      <c r="H11" s="7" t="s">
        <v>62</v>
      </c>
      <c r="I11" s="8" t="s">
        <v>107</v>
      </c>
      <c r="J11" s="8" t="s">
        <v>108</v>
      </c>
      <c r="K11" s="4" t="s">
        <v>109</v>
      </c>
      <c r="L11" s="4"/>
      <c r="M11" s="4" t="s">
        <v>110</v>
      </c>
      <c r="N11" s="4" t="s">
        <v>111</v>
      </c>
      <c r="O11" s="4" t="s">
        <v>112</v>
      </c>
      <c r="P11" s="4"/>
      <c r="Q11" s="4"/>
      <c r="R11" s="4" t="s">
        <v>113</v>
      </c>
      <c r="S11" s="4"/>
      <c r="T11" s="4"/>
      <c r="U11" s="4"/>
      <c r="V11" s="4" t="s">
        <v>114</v>
      </c>
      <c r="W11" s="4"/>
      <c r="X11" s="4"/>
      <c r="Y11" s="4"/>
      <c r="Z11" s="4"/>
      <c r="AA11" s="4" t="s">
        <v>46</v>
      </c>
    </row>
    <row r="12" customFormat="false" ht="32.8" hidden="false" customHeight="false" outlineLevel="0" collapsed="false">
      <c r="A12" s="7" t="n">
        <v>11</v>
      </c>
      <c r="B12" s="8" t="s">
        <v>115</v>
      </c>
      <c r="C12" s="7" t="s">
        <v>34</v>
      </c>
      <c r="D12" s="8" t="s">
        <v>116</v>
      </c>
      <c r="E12" s="7" t="s">
        <v>59</v>
      </c>
      <c r="F12" s="9" t="s">
        <v>87</v>
      </c>
      <c r="G12" s="9" t="s">
        <v>88</v>
      </c>
      <c r="H12" s="7" t="s">
        <v>62</v>
      </c>
      <c r="I12" s="8" t="s">
        <v>117</v>
      </c>
      <c r="J12" s="8" t="s">
        <v>118</v>
      </c>
      <c r="K12" s="4" t="s">
        <v>119</v>
      </c>
      <c r="L12" s="4" t="s">
        <v>120</v>
      </c>
      <c r="M12" s="4" t="s">
        <v>121</v>
      </c>
      <c r="N12" s="4" t="s">
        <v>122</v>
      </c>
      <c r="O12" s="4" t="s">
        <v>123</v>
      </c>
      <c r="P12" s="4"/>
      <c r="Q12" s="4"/>
      <c r="R12" s="4" t="s">
        <v>124</v>
      </c>
      <c r="S12" s="4"/>
      <c r="T12" s="4"/>
      <c r="U12" s="4"/>
      <c r="V12" s="4" t="s">
        <v>125</v>
      </c>
      <c r="W12" s="4"/>
      <c r="X12" s="4"/>
      <c r="Y12" s="4" t="s">
        <v>104</v>
      </c>
      <c r="Z12" s="4"/>
      <c r="AA12" s="4" t="s">
        <v>46</v>
      </c>
    </row>
    <row r="13" customFormat="false" ht="22.35" hidden="false" customHeight="false" outlineLevel="0" collapsed="false">
      <c r="A13" s="7" t="n">
        <v>12</v>
      </c>
      <c r="B13" s="8" t="s">
        <v>126</v>
      </c>
      <c r="C13" s="7" t="s">
        <v>34</v>
      </c>
      <c r="D13" s="8" t="s">
        <v>127</v>
      </c>
      <c r="E13" s="7" t="s">
        <v>59</v>
      </c>
      <c r="F13" s="9" t="s">
        <v>128</v>
      </c>
      <c r="G13" s="9" t="s">
        <v>129</v>
      </c>
      <c r="H13" s="7" t="s">
        <v>62</v>
      </c>
      <c r="I13" s="8" t="s">
        <v>130</v>
      </c>
      <c r="J13" s="8" t="s">
        <v>131</v>
      </c>
      <c r="K13" s="4" t="s">
        <v>132</v>
      </c>
      <c r="L13" s="4"/>
      <c r="M13" s="4" t="s">
        <v>133</v>
      </c>
      <c r="N13" s="4" t="s">
        <v>134</v>
      </c>
      <c r="O13" s="4"/>
      <c r="P13" s="4"/>
      <c r="Q13" s="4"/>
      <c r="R13" s="4"/>
      <c r="S13" s="4" t="s">
        <v>135</v>
      </c>
      <c r="T13" s="4" t="s">
        <v>136</v>
      </c>
      <c r="U13" s="4" t="s">
        <v>137</v>
      </c>
      <c r="V13" s="4" t="s">
        <v>138</v>
      </c>
      <c r="W13" s="4"/>
      <c r="X13" s="4"/>
      <c r="Y13" s="4"/>
      <c r="Z13" s="4" t="s">
        <v>139</v>
      </c>
      <c r="AA13" s="4" t="s">
        <v>46</v>
      </c>
    </row>
    <row r="14" customFormat="false" ht="53.7" hidden="false" customHeight="false" outlineLevel="0" collapsed="false">
      <c r="A14" s="7" t="n">
        <v>13</v>
      </c>
      <c r="B14" s="8" t="s">
        <v>140</v>
      </c>
      <c r="C14" s="7" t="s">
        <v>34</v>
      </c>
      <c r="D14" s="8" t="s">
        <v>141</v>
      </c>
      <c r="E14" s="7" t="s">
        <v>59</v>
      </c>
      <c r="F14" s="9" t="s">
        <v>142</v>
      </c>
      <c r="G14" s="9" t="s">
        <v>129</v>
      </c>
      <c r="H14" s="7" t="s">
        <v>62</v>
      </c>
      <c r="I14" s="8" t="s">
        <v>143</v>
      </c>
      <c r="J14" s="8" t="s">
        <v>144</v>
      </c>
      <c r="K14" s="4" t="s">
        <v>145</v>
      </c>
      <c r="L14" s="4" t="s">
        <v>146</v>
      </c>
      <c r="M14" s="4" t="s">
        <v>147</v>
      </c>
      <c r="N14" s="4" t="s">
        <v>148</v>
      </c>
      <c r="O14" s="4"/>
      <c r="P14" s="4"/>
      <c r="Q14" s="4"/>
      <c r="R14" s="4"/>
      <c r="S14" s="4" t="s">
        <v>149</v>
      </c>
      <c r="T14" s="4"/>
      <c r="U14" s="4" t="s">
        <v>150</v>
      </c>
      <c r="V14" s="4"/>
      <c r="W14" s="4"/>
      <c r="X14" s="4"/>
      <c r="Y14" s="4"/>
      <c r="Z14" s="4"/>
      <c r="AA14" s="4" t="s">
        <v>46</v>
      </c>
    </row>
    <row r="15" customFormat="false" ht="32.8" hidden="false" customHeight="false" outlineLevel="0" collapsed="false">
      <c r="A15" s="5" t="n">
        <v>14</v>
      </c>
      <c r="B15" s="6" t="s">
        <v>151</v>
      </c>
      <c r="C15" s="5" t="s">
        <v>34</v>
      </c>
      <c r="D15" s="6" t="s">
        <v>152</v>
      </c>
      <c r="E15" s="5" t="s">
        <v>36</v>
      </c>
      <c r="F15" s="6" t="s">
        <v>37</v>
      </c>
      <c r="G15" s="6" t="s">
        <v>38</v>
      </c>
      <c r="H15" s="5" t="s">
        <v>39</v>
      </c>
      <c r="I15" s="6" t="s">
        <v>153</v>
      </c>
      <c r="J15" s="6" t="s">
        <v>154</v>
      </c>
      <c r="K15" s="4" t="s">
        <v>155</v>
      </c>
      <c r="L15" s="4"/>
      <c r="M15" s="4" t="s">
        <v>156</v>
      </c>
      <c r="N15" s="4" t="s">
        <v>157</v>
      </c>
      <c r="O15" s="4"/>
      <c r="P15" s="4"/>
      <c r="Q15" s="4"/>
      <c r="R15" s="4"/>
      <c r="S15" s="4" t="s">
        <v>158</v>
      </c>
      <c r="T15" s="4" t="s">
        <v>159</v>
      </c>
      <c r="U15" s="4" t="s">
        <v>160</v>
      </c>
      <c r="V15" s="4" t="s">
        <v>161</v>
      </c>
      <c r="W15" s="4"/>
      <c r="X15" s="4" t="s">
        <v>102</v>
      </c>
      <c r="Y15" s="4"/>
      <c r="Z15" s="4" t="s">
        <v>162</v>
      </c>
      <c r="AA15" s="4" t="s">
        <v>46</v>
      </c>
    </row>
    <row r="16" customFormat="false" ht="15" hidden="false" customHeight="false" outlineLevel="0" collapsed="false">
      <c r="A16" s="2" t="n">
        <v>15</v>
      </c>
      <c r="B16" s="3" t="s">
        <v>163</v>
      </c>
      <c r="C16" s="2" t="s">
        <v>28</v>
      </c>
      <c r="D16" s="3" t="s">
        <v>164</v>
      </c>
      <c r="E16" s="2" t="s">
        <v>28</v>
      </c>
      <c r="F16" s="3" t="s">
        <v>165</v>
      </c>
      <c r="G16" s="3" t="s">
        <v>28</v>
      </c>
      <c r="H16" s="2" t="s">
        <v>31</v>
      </c>
      <c r="I16" s="3"/>
      <c r="J16" s="3" t="s">
        <v>166</v>
      </c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</row>
    <row r="17" customFormat="false" ht="15" hidden="false" customHeight="false" outlineLevel="0" collapsed="false">
      <c r="A17" s="2" t="n">
        <v>16</v>
      </c>
      <c r="B17" s="3" t="s">
        <v>167</v>
      </c>
      <c r="C17" s="2" t="s">
        <v>28</v>
      </c>
      <c r="D17" s="3" t="s">
        <v>29</v>
      </c>
      <c r="E17" s="2" t="s">
        <v>28</v>
      </c>
      <c r="F17" s="3" t="s">
        <v>168</v>
      </c>
      <c r="G17" s="3" t="s">
        <v>28</v>
      </c>
      <c r="H17" s="2" t="s">
        <v>31</v>
      </c>
      <c r="I17" s="3"/>
      <c r="J17" s="3" t="s">
        <v>169</v>
      </c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</row>
    <row r="18" customFormat="false" ht="64.15" hidden="false" customHeight="false" outlineLevel="0" collapsed="false">
      <c r="A18" s="5" t="n">
        <v>17</v>
      </c>
      <c r="B18" s="6" t="s">
        <v>170</v>
      </c>
      <c r="C18" s="5" t="s">
        <v>34</v>
      </c>
      <c r="D18" s="6" t="s">
        <v>171</v>
      </c>
      <c r="E18" s="5" t="s">
        <v>36</v>
      </c>
      <c r="F18" s="6" t="s">
        <v>37</v>
      </c>
      <c r="G18" s="6" t="s">
        <v>38</v>
      </c>
      <c r="H18" s="5" t="s">
        <v>39</v>
      </c>
      <c r="I18" s="6" t="s">
        <v>172</v>
      </c>
      <c r="J18" s="6" t="s">
        <v>173</v>
      </c>
      <c r="K18" s="4" t="s">
        <v>174</v>
      </c>
      <c r="L18" s="4"/>
      <c r="M18" s="4" t="s">
        <v>175</v>
      </c>
      <c r="N18" s="4" t="s">
        <v>176</v>
      </c>
      <c r="O18" s="4" t="s">
        <v>177</v>
      </c>
      <c r="P18" s="4"/>
      <c r="Q18" s="4"/>
      <c r="R18" s="4"/>
      <c r="S18" s="4" t="s">
        <v>178</v>
      </c>
      <c r="T18" s="4"/>
      <c r="U18" s="4" t="s">
        <v>179</v>
      </c>
      <c r="V18" s="4" t="s">
        <v>180</v>
      </c>
      <c r="W18" s="4"/>
      <c r="X18" s="4" t="s">
        <v>94</v>
      </c>
      <c r="Y18" s="4" t="s">
        <v>181</v>
      </c>
      <c r="Z18" s="4"/>
      <c r="AA18" s="4" t="s">
        <v>46</v>
      </c>
    </row>
    <row r="19" customFormat="false" ht="22.35" hidden="false" customHeight="false" outlineLevel="0" collapsed="false">
      <c r="A19" s="10" t="n">
        <v>18</v>
      </c>
      <c r="B19" s="11" t="s">
        <v>182</v>
      </c>
      <c r="C19" s="10" t="s">
        <v>34</v>
      </c>
      <c r="D19" s="11" t="s">
        <v>183</v>
      </c>
      <c r="E19" s="10" t="s">
        <v>184</v>
      </c>
      <c r="F19" s="12" t="s">
        <v>185</v>
      </c>
      <c r="G19" s="12" t="s">
        <v>38</v>
      </c>
      <c r="H19" s="10" t="s">
        <v>39</v>
      </c>
      <c r="I19" s="11" t="s">
        <v>186</v>
      </c>
      <c r="J19" s="11" t="s">
        <v>187</v>
      </c>
      <c r="K19" s="4" t="s">
        <v>188</v>
      </c>
      <c r="L19" s="4"/>
      <c r="M19" s="4"/>
      <c r="N19" s="4" t="s">
        <v>189</v>
      </c>
      <c r="O19" s="4"/>
      <c r="P19" s="4"/>
      <c r="Q19" s="4" t="s">
        <v>190</v>
      </c>
      <c r="R19" s="4" t="s">
        <v>191</v>
      </c>
      <c r="S19" s="4" t="s">
        <v>192</v>
      </c>
      <c r="T19" s="4"/>
      <c r="U19" s="4"/>
      <c r="V19" s="4"/>
      <c r="W19" s="4"/>
      <c r="X19" s="4"/>
      <c r="Y19" s="4" t="s">
        <v>193</v>
      </c>
      <c r="Z19" s="4"/>
      <c r="AA19" s="4" t="s">
        <v>46</v>
      </c>
    </row>
    <row r="20" customFormat="false" ht="32.8" hidden="false" customHeight="false" outlineLevel="0" collapsed="false">
      <c r="A20" s="7" t="n">
        <v>19</v>
      </c>
      <c r="B20" s="8" t="s">
        <v>194</v>
      </c>
      <c r="C20" s="7" t="s">
        <v>34</v>
      </c>
      <c r="D20" s="8" t="s">
        <v>195</v>
      </c>
      <c r="E20" s="7" t="s">
        <v>59</v>
      </c>
      <c r="F20" s="9" t="s">
        <v>196</v>
      </c>
      <c r="G20" s="9" t="s">
        <v>129</v>
      </c>
      <c r="H20" s="7" t="s">
        <v>72</v>
      </c>
      <c r="I20" s="8" t="s">
        <v>197</v>
      </c>
      <c r="J20" s="8" t="s">
        <v>198</v>
      </c>
      <c r="K20" s="4" t="s">
        <v>199</v>
      </c>
      <c r="L20" s="4"/>
      <c r="M20" s="4" t="s">
        <v>133</v>
      </c>
      <c r="N20" s="4" t="s">
        <v>139</v>
      </c>
      <c r="O20" s="4"/>
      <c r="P20" s="4"/>
      <c r="Q20" s="4" t="s">
        <v>200</v>
      </c>
      <c r="R20" s="4"/>
      <c r="S20" s="4"/>
      <c r="T20" s="4"/>
      <c r="U20" s="4"/>
      <c r="V20" s="4"/>
      <c r="W20" s="4"/>
      <c r="X20" s="4"/>
      <c r="Y20" s="4"/>
      <c r="Z20" s="4" t="s">
        <v>162</v>
      </c>
      <c r="AA20" s="4" t="s">
        <v>46</v>
      </c>
    </row>
    <row r="21" customFormat="false" ht="22.35" hidden="false" customHeight="false" outlineLevel="0" collapsed="false">
      <c r="A21" s="7" t="n">
        <v>20</v>
      </c>
      <c r="B21" s="8" t="s">
        <v>201</v>
      </c>
      <c r="C21" s="7" t="s">
        <v>34</v>
      </c>
      <c r="D21" s="8" t="s">
        <v>202</v>
      </c>
      <c r="E21" s="7" t="s">
        <v>59</v>
      </c>
      <c r="F21" s="9" t="s">
        <v>203</v>
      </c>
      <c r="G21" s="9" t="s">
        <v>129</v>
      </c>
      <c r="H21" s="7" t="s">
        <v>62</v>
      </c>
      <c r="I21" s="8" t="s">
        <v>204</v>
      </c>
      <c r="J21" s="8" t="s">
        <v>205</v>
      </c>
      <c r="K21" s="4" t="s">
        <v>206</v>
      </c>
      <c r="L21" s="4"/>
      <c r="M21" s="4" t="s">
        <v>207</v>
      </c>
      <c r="N21" s="4" t="s">
        <v>208</v>
      </c>
      <c r="O21" s="4"/>
      <c r="P21" s="4" t="s">
        <v>137</v>
      </c>
      <c r="Q21" s="4" t="s">
        <v>209</v>
      </c>
      <c r="R21" s="4" t="s">
        <v>43</v>
      </c>
      <c r="S21" s="4"/>
      <c r="T21" s="4" t="s">
        <v>136</v>
      </c>
      <c r="U21" s="4"/>
      <c r="V21" s="4" t="s">
        <v>210</v>
      </c>
      <c r="W21" s="4"/>
      <c r="X21" s="4" t="s">
        <v>211</v>
      </c>
      <c r="Y21" s="4"/>
      <c r="Z21" s="4"/>
      <c r="AA21" s="4" t="s">
        <v>46</v>
      </c>
    </row>
    <row r="22" customFormat="false" ht="32.8" hidden="false" customHeight="false" outlineLevel="0" collapsed="false">
      <c r="A22" s="5" t="n">
        <v>21</v>
      </c>
      <c r="B22" s="6" t="s">
        <v>212</v>
      </c>
      <c r="C22" s="5" t="s">
        <v>34</v>
      </c>
      <c r="D22" s="6" t="s">
        <v>213</v>
      </c>
      <c r="E22" s="5" t="s">
        <v>36</v>
      </c>
      <c r="F22" s="6" t="s">
        <v>37</v>
      </c>
      <c r="G22" s="6" t="s">
        <v>38</v>
      </c>
      <c r="H22" s="5" t="s">
        <v>39</v>
      </c>
      <c r="I22" s="6" t="s">
        <v>214</v>
      </c>
      <c r="J22" s="6" t="s">
        <v>215</v>
      </c>
      <c r="K22" s="4" t="s">
        <v>216</v>
      </c>
      <c r="L22" s="4"/>
      <c r="M22" s="4" t="s">
        <v>217</v>
      </c>
      <c r="N22" s="4" t="s">
        <v>189</v>
      </c>
      <c r="O22" s="4"/>
      <c r="P22" s="4" t="s">
        <v>218</v>
      </c>
      <c r="Q22" s="4" t="s">
        <v>219</v>
      </c>
      <c r="R22" s="4" t="s">
        <v>44</v>
      </c>
      <c r="S22" s="4"/>
      <c r="T22" s="4" t="s">
        <v>159</v>
      </c>
      <c r="U22" s="4"/>
      <c r="V22" s="4" t="s">
        <v>220</v>
      </c>
      <c r="W22" s="4"/>
      <c r="X22" s="4"/>
      <c r="Y22" s="4"/>
      <c r="Z22" s="4" t="s">
        <v>162</v>
      </c>
      <c r="AA22" s="4" t="s">
        <v>46</v>
      </c>
    </row>
    <row r="23" customFormat="false" ht="22.35" hidden="false" customHeight="false" outlineLevel="0" collapsed="false">
      <c r="A23" s="7" t="n">
        <v>22</v>
      </c>
      <c r="B23" s="8" t="s">
        <v>221</v>
      </c>
      <c r="C23" s="7" t="s">
        <v>34</v>
      </c>
      <c r="D23" s="8" t="s">
        <v>222</v>
      </c>
      <c r="E23" s="7" t="s">
        <v>59</v>
      </c>
      <c r="F23" s="9" t="s">
        <v>87</v>
      </c>
      <c r="G23" s="9" t="s">
        <v>88</v>
      </c>
      <c r="H23" s="7" t="s">
        <v>62</v>
      </c>
      <c r="I23" s="8" t="s">
        <v>223</v>
      </c>
      <c r="J23" s="8" t="s">
        <v>224</v>
      </c>
      <c r="K23" s="4" t="s">
        <v>225</v>
      </c>
      <c r="L23" s="4"/>
      <c r="M23" s="4"/>
      <c r="N23" s="4" t="s">
        <v>226</v>
      </c>
      <c r="O23" s="4"/>
      <c r="P23" s="4" t="s">
        <v>227</v>
      </c>
      <c r="Q23" s="4"/>
      <c r="R23" s="4"/>
      <c r="S23" s="4" t="s">
        <v>228</v>
      </c>
      <c r="T23" s="4"/>
      <c r="U23" s="4"/>
      <c r="V23" s="4" t="s">
        <v>229</v>
      </c>
      <c r="W23" s="4"/>
      <c r="X23" s="4"/>
      <c r="Y23" s="4"/>
      <c r="Z23" s="4"/>
      <c r="AA23" s="4" t="s">
        <v>46</v>
      </c>
    </row>
    <row r="24" customFormat="false" ht="43.25" hidden="false" customHeight="false" outlineLevel="0" collapsed="false">
      <c r="A24" s="7" t="n">
        <v>23</v>
      </c>
      <c r="B24" s="8" t="s">
        <v>230</v>
      </c>
      <c r="C24" s="7" t="s">
        <v>34</v>
      </c>
      <c r="D24" s="8" t="s">
        <v>231</v>
      </c>
      <c r="E24" s="7" t="s">
        <v>59</v>
      </c>
      <c r="F24" s="9" t="s">
        <v>87</v>
      </c>
      <c r="G24" s="9" t="s">
        <v>88</v>
      </c>
      <c r="H24" s="7" t="s">
        <v>62</v>
      </c>
      <c r="I24" s="8" t="s">
        <v>232</v>
      </c>
      <c r="J24" s="8" t="s">
        <v>233</v>
      </c>
      <c r="K24" s="4" t="s">
        <v>234</v>
      </c>
      <c r="L24" s="4"/>
      <c r="M24" s="4"/>
      <c r="N24" s="4" t="s">
        <v>235</v>
      </c>
      <c r="O24" s="4" t="s">
        <v>236</v>
      </c>
      <c r="P24" s="4"/>
      <c r="Q24" s="4"/>
      <c r="R24" s="4" t="s">
        <v>237</v>
      </c>
      <c r="S24" s="4" t="s">
        <v>238</v>
      </c>
      <c r="T24" s="4"/>
      <c r="U24" s="4"/>
      <c r="V24" s="4"/>
      <c r="W24" s="4"/>
      <c r="X24" s="4"/>
      <c r="Y24" s="4" t="s">
        <v>239</v>
      </c>
      <c r="Z24" s="4"/>
      <c r="AA24" s="4" t="s">
        <v>46</v>
      </c>
    </row>
    <row r="25" customFormat="false" ht="32.8" hidden="false" customHeight="false" outlineLevel="0" collapsed="false">
      <c r="A25" s="7" t="n">
        <v>24</v>
      </c>
      <c r="B25" s="8" t="s">
        <v>240</v>
      </c>
      <c r="C25" s="7" t="s">
        <v>34</v>
      </c>
      <c r="D25" s="8" t="s">
        <v>241</v>
      </c>
      <c r="E25" s="7" t="s">
        <v>59</v>
      </c>
      <c r="F25" s="9" t="s">
        <v>242</v>
      </c>
      <c r="G25" s="9" t="s">
        <v>129</v>
      </c>
      <c r="H25" s="7" t="s">
        <v>62</v>
      </c>
      <c r="I25" s="8" t="s">
        <v>243</v>
      </c>
      <c r="J25" s="8" t="s">
        <v>244</v>
      </c>
      <c r="K25" s="4" t="s">
        <v>245</v>
      </c>
      <c r="L25" s="4"/>
      <c r="M25" s="4"/>
      <c r="N25" s="4" t="s">
        <v>246</v>
      </c>
      <c r="O25" s="4"/>
      <c r="P25" s="4" t="s">
        <v>247</v>
      </c>
      <c r="Q25" s="4"/>
      <c r="R25" s="4" t="s">
        <v>248</v>
      </c>
      <c r="S25" s="4"/>
      <c r="T25" s="4"/>
      <c r="U25" s="4"/>
      <c r="V25" s="4" t="s">
        <v>249</v>
      </c>
      <c r="W25" s="4"/>
      <c r="X25" s="4"/>
      <c r="Y25" s="4" t="s">
        <v>250</v>
      </c>
      <c r="Z25" s="4" t="s">
        <v>162</v>
      </c>
      <c r="AA25" s="4" t="s">
        <v>46</v>
      </c>
    </row>
    <row r="26" customFormat="false" ht="32.8" hidden="false" customHeight="false" outlineLevel="0" collapsed="false">
      <c r="A26" s="7" t="n">
        <v>25</v>
      </c>
      <c r="B26" s="8" t="s">
        <v>251</v>
      </c>
      <c r="C26" s="7" t="s">
        <v>34</v>
      </c>
      <c r="D26" s="8" t="s">
        <v>241</v>
      </c>
      <c r="E26" s="7" t="s">
        <v>59</v>
      </c>
      <c r="F26" s="9" t="s">
        <v>252</v>
      </c>
      <c r="G26" s="9" t="s">
        <v>129</v>
      </c>
      <c r="H26" s="7" t="s">
        <v>62</v>
      </c>
      <c r="I26" s="8" t="s">
        <v>243</v>
      </c>
      <c r="J26" s="8" t="s">
        <v>253</v>
      </c>
      <c r="K26" s="4" t="s">
        <v>254</v>
      </c>
      <c r="L26" s="4"/>
      <c r="M26" s="4"/>
      <c r="N26" s="4" t="s">
        <v>255</v>
      </c>
      <c r="O26" s="4"/>
      <c r="P26" s="4" t="s">
        <v>256</v>
      </c>
      <c r="Q26" s="4"/>
      <c r="R26" s="4" t="s">
        <v>68</v>
      </c>
      <c r="S26" s="4"/>
      <c r="T26" s="4" t="s">
        <v>257</v>
      </c>
      <c r="U26" s="4"/>
      <c r="V26" s="4" t="s">
        <v>258</v>
      </c>
      <c r="W26" s="4"/>
      <c r="X26" s="4" t="s">
        <v>259</v>
      </c>
      <c r="Y26" s="4" t="s">
        <v>260</v>
      </c>
      <c r="Z26" s="4"/>
      <c r="AA26" s="4" t="s">
        <v>46</v>
      </c>
    </row>
    <row r="27" customFormat="false" ht="32.8" hidden="false" customHeight="false" outlineLevel="0" collapsed="false">
      <c r="A27" s="5" t="n">
        <v>26</v>
      </c>
      <c r="B27" s="6" t="s">
        <v>261</v>
      </c>
      <c r="C27" s="5" t="s">
        <v>34</v>
      </c>
      <c r="D27" s="6" t="s">
        <v>262</v>
      </c>
      <c r="E27" s="5" t="s">
        <v>36</v>
      </c>
      <c r="F27" s="6" t="s">
        <v>37</v>
      </c>
      <c r="G27" s="6" t="s">
        <v>38</v>
      </c>
      <c r="H27" s="5" t="s">
        <v>39</v>
      </c>
      <c r="I27" s="6" t="s">
        <v>263</v>
      </c>
      <c r="J27" s="6" t="s">
        <v>264</v>
      </c>
      <c r="K27" s="4" t="s">
        <v>265</v>
      </c>
      <c r="L27" s="4" t="s">
        <v>266</v>
      </c>
      <c r="M27" s="4" t="s">
        <v>100</v>
      </c>
      <c r="N27" s="4" t="s">
        <v>134</v>
      </c>
      <c r="O27" s="4" t="s">
        <v>267</v>
      </c>
      <c r="P27" s="4" t="s">
        <v>268</v>
      </c>
      <c r="Q27" s="4"/>
      <c r="R27" s="4"/>
      <c r="S27" s="4"/>
      <c r="T27" s="4"/>
      <c r="U27" s="4"/>
      <c r="V27" s="4" t="s">
        <v>114</v>
      </c>
      <c r="W27" s="4"/>
      <c r="X27" s="4"/>
      <c r="Y27" s="4" t="s">
        <v>269</v>
      </c>
      <c r="Z27" s="4"/>
      <c r="AA27" s="4" t="s">
        <v>46</v>
      </c>
    </row>
    <row r="28" customFormat="false" ht="15" hidden="false" customHeight="false" outlineLevel="0" collapsed="false">
      <c r="A28" s="2" t="n">
        <v>27</v>
      </c>
      <c r="B28" s="3" t="s">
        <v>270</v>
      </c>
      <c r="C28" s="2" t="s">
        <v>28</v>
      </c>
      <c r="D28" s="3" t="s">
        <v>164</v>
      </c>
      <c r="E28" s="2" t="s">
        <v>28</v>
      </c>
      <c r="F28" s="3" t="s">
        <v>165</v>
      </c>
      <c r="G28" s="3" t="s">
        <v>28</v>
      </c>
      <c r="H28" s="2" t="s">
        <v>31</v>
      </c>
      <c r="I28" s="3"/>
      <c r="J28" s="3" t="s">
        <v>166</v>
      </c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</row>
    <row r="29" customFormat="false" ht="22.35" hidden="false" customHeight="false" outlineLevel="0" collapsed="false">
      <c r="A29" s="2" t="n">
        <v>28</v>
      </c>
      <c r="B29" s="3" t="s">
        <v>271</v>
      </c>
      <c r="C29" s="2" t="s">
        <v>272</v>
      </c>
      <c r="D29" s="3" t="s">
        <v>273</v>
      </c>
      <c r="E29" s="2" t="s">
        <v>28</v>
      </c>
      <c r="F29" s="3" t="s">
        <v>274</v>
      </c>
      <c r="G29" s="3" t="s">
        <v>28</v>
      </c>
      <c r="H29" s="2" t="s">
        <v>31</v>
      </c>
      <c r="I29" s="3"/>
      <c r="J29" s="3" t="s">
        <v>275</v>
      </c>
      <c r="K29" s="4" t="s">
        <v>276</v>
      </c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</row>
    <row r="30" customFormat="false" ht="22.35" hidden="false" customHeight="false" outlineLevel="0" collapsed="false">
      <c r="A30" s="2" t="n">
        <v>29</v>
      </c>
      <c r="B30" s="3" t="s">
        <v>277</v>
      </c>
      <c r="C30" s="2" t="s">
        <v>28</v>
      </c>
      <c r="D30" s="3" t="s">
        <v>273</v>
      </c>
      <c r="E30" s="2" t="s">
        <v>28</v>
      </c>
      <c r="F30" s="3" t="s">
        <v>278</v>
      </c>
      <c r="G30" s="3" t="s">
        <v>28</v>
      </c>
      <c r="H30" s="2" t="s">
        <v>31</v>
      </c>
      <c r="I30" s="3"/>
      <c r="J30" s="3" t="s">
        <v>279</v>
      </c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</row>
    <row r="31" customFormat="false" ht="53.7" hidden="false" customHeight="false" outlineLevel="0" collapsed="false">
      <c r="A31" s="5" t="n">
        <v>30</v>
      </c>
      <c r="B31" s="6" t="s">
        <v>280</v>
      </c>
      <c r="C31" s="5" t="s">
        <v>34</v>
      </c>
      <c r="D31" s="6" t="s">
        <v>281</v>
      </c>
      <c r="E31" s="5" t="s">
        <v>36</v>
      </c>
      <c r="F31" s="6" t="s">
        <v>37</v>
      </c>
      <c r="G31" s="6" t="s">
        <v>38</v>
      </c>
      <c r="H31" s="5" t="s">
        <v>39</v>
      </c>
      <c r="I31" s="6" t="s">
        <v>282</v>
      </c>
      <c r="J31" s="6" t="s">
        <v>283</v>
      </c>
      <c r="K31" s="4" t="s">
        <v>284</v>
      </c>
      <c r="L31" s="4"/>
      <c r="M31" s="4" t="s">
        <v>156</v>
      </c>
      <c r="N31" s="4"/>
      <c r="O31" s="4"/>
      <c r="P31" s="4"/>
      <c r="Q31" s="4"/>
      <c r="R31" s="4"/>
      <c r="S31" s="4" t="s">
        <v>285</v>
      </c>
      <c r="T31" s="4" t="s">
        <v>94</v>
      </c>
      <c r="U31" s="4"/>
      <c r="V31" s="4" t="s">
        <v>180</v>
      </c>
      <c r="W31" s="4"/>
      <c r="X31" s="4" t="s">
        <v>43</v>
      </c>
      <c r="Y31" s="4" t="s">
        <v>286</v>
      </c>
      <c r="Z31" s="4" t="s">
        <v>287</v>
      </c>
      <c r="AA31" s="4" t="s">
        <v>46</v>
      </c>
    </row>
    <row r="32" customFormat="false" ht="15" hidden="false" customHeight="false" outlineLevel="0" collapsed="false">
      <c r="A32" s="2" t="n">
        <v>31</v>
      </c>
      <c r="B32" s="3" t="s">
        <v>163</v>
      </c>
      <c r="C32" s="2" t="s">
        <v>28</v>
      </c>
      <c r="D32" s="3" t="s">
        <v>164</v>
      </c>
      <c r="E32" s="2" t="s">
        <v>28</v>
      </c>
      <c r="F32" s="3" t="s">
        <v>165</v>
      </c>
      <c r="G32" s="3" t="s">
        <v>28</v>
      </c>
      <c r="H32" s="2" t="s">
        <v>31</v>
      </c>
      <c r="I32" s="3"/>
      <c r="J32" s="3" t="s">
        <v>166</v>
      </c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</row>
    <row r="33" customFormat="false" ht="15" hidden="false" customHeight="false" outlineLevel="0" collapsed="false">
      <c r="A33" s="2" t="n">
        <v>32</v>
      </c>
      <c r="B33" s="3" t="s">
        <v>167</v>
      </c>
      <c r="C33" s="2" t="s">
        <v>28</v>
      </c>
      <c r="D33" s="3" t="s">
        <v>29</v>
      </c>
      <c r="E33" s="2" t="s">
        <v>28</v>
      </c>
      <c r="F33" s="3" t="s">
        <v>168</v>
      </c>
      <c r="G33" s="3" t="s">
        <v>28</v>
      </c>
      <c r="H33" s="2" t="s">
        <v>31</v>
      </c>
      <c r="I33" s="3"/>
      <c r="J33" s="3" t="s">
        <v>169</v>
      </c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</row>
    <row r="34" customFormat="false" ht="32.8" hidden="false" customHeight="false" outlineLevel="0" collapsed="false">
      <c r="A34" s="7" t="n">
        <v>33</v>
      </c>
      <c r="B34" s="8" t="s">
        <v>288</v>
      </c>
      <c r="C34" s="7" t="s">
        <v>34</v>
      </c>
      <c r="D34" s="8" t="s">
        <v>289</v>
      </c>
      <c r="E34" s="7" t="s">
        <v>59</v>
      </c>
      <c r="F34" s="9" t="s">
        <v>290</v>
      </c>
      <c r="G34" s="9" t="s">
        <v>129</v>
      </c>
      <c r="H34" s="7" t="s">
        <v>62</v>
      </c>
      <c r="I34" s="8" t="s">
        <v>291</v>
      </c>
      <c r="J34" s="8" t="s">
        <v>292</v>
      </c>
      <c r="K34" s="4" t="s">
        <v>293</v>
      </c>
      <c r="L34" s="4"/>
      <c r="M34" s="4" t="s">
        <v>175</v>
      </c>
      <c r="N34" s="4"/>
      <c r="O34" s="4"/>
      <c r="P34" s="4"/>
      <c r="Q34" s="4"/>
      <c r="R34" s="4"/>
      <c r="S34" s="4" t="s">
        <v>294</v>
      </c>
      <c r="T34" s="4" t="s">
        <v>102</v>
      </c>
      <c r="U34" s="4"/>
      <c r="V34" s="4" t="s">
        <v>161</v>
      </c>
      <c r="W34" s="4"/>
      <c r="X34" s="4"/>
      <c r="Y34" s="4" t="s">
        <v>295</v>
      </c>
      <c r="Z34" s="4"/>
      <c r="AA34" s="4" t="s">
        <v>46</v>
      </c>
    </row>
    <row r="35" customFormat="false" ht="32.8" hidden="false" customHeight="false" outlineLevel="0" collapsed="false">
      <c r="A35" s="7" t="n">
        <v>34</v>
      </c>
      <c r="B35" s="8" t="s">
        <v>296</v>
      </c>
      <c r="C35" s="7" t="s">
        <v>34</v>
      </c>
      <c r="D35" s="8" t="s">
        <v>297</v>
      </c>
      <c r="E35" s="7" t="s">
        <v>59</v>
      </c>
      <c r="F35" s="9" t="s">
        <v>298</v>
      </c>
      <c r="G35" s="9" t="s">
        <v>24</v>
      </c>
      <c r="H35" s="7" t="s">
        <v>72</v>
      </c>
      <c r="I35" s="8" t="s">
        <v>299</v>
      </c>
      <c r="J35" s="8" t="s">
        <v>300</v>
      </c>
      <c r="K35" s="4" t="s">
        <v>301</v>
      </c>
      <c r="L35" s="4"/>
      <c r="M35" s="4"/>
      <c r="N35" s="4" t="s">
        <v>302</v>
      </c>
      <c r="O35" s="4"/>
      <c r="P35" s="4" t="s">
        <v>303</v>
      </c>
      <c r="Q35" s="4" t="s">
        <v>67</v>
      </c>
      <c r="R35" s="4" t="s">
        <v>43</v>
      </c>
      <c r="S35" s="4" t="s">
        <v>304</v>
      </c>
      <c r="T35" s="4" t="s">
        <v>259</v>
      </c>
      <c r="U35" s="4" t="s">
        <v>305</v>
      </c>
      <c r="V35" s="4"/>
      <c r="W35" s="4"/>
      <c r="X35" s="4"/>
      <c r="Y35" s="4" t="s">
        <v>298</v>
      </c>
      <c r="Z35" s="4"/>
      <c r="AA35" s="4" t="s">
        <v>46</v>
      </c>
    </row>
    <row r="36" customFormat="false" ht="43.25" hidden="false" customHeight="false" outlineLevel="0" collapsed="false">
      <c r="A36" s="7" t="n">
        <v>35</v>
      </c>
      <c r="B36" s="8" t="s">
        <v>306</v>
      </c>
      <c r="C36" s="7" t="s">
        <v>34</v>
      </c>
      <c r="D36" s="8" t="s">
        <v>307</v>
      </c>
      <c r="E36" s="7" t="s">
        <v>59</v>
      </c>
      <c r="F36" s="9" t="s">
        <v>308</v>
      </c>
      <c r="G36" s="9" t="s">
        <v>24</v>
      </c>
      <c r="H36" s="7" t="s">
        <v>72</v>
      </c>
      <c r="I36" s="8" t="s">
        <v>309</v>
      </c>
      <c r="J36" s="8" t="s">
        <v>310</v>
      </c>
      <c r="K36" s="4" t="s">
        <v>311</v>
      </c>
      <c r="L36" s="4"/>
      <c r="M36" s="4"/>
      <c r="N36" s="4"/>
      <c r="O36" s="4"/>
      <c r="P36" s="4"/>
      <c r="Q36" s="4" t="s">
        <v>76</v>
      </c>
      <c r="R36" s="4" t="s">
        <v>44</v>
      </c>
      <c r="S36" s="4" t="s">
        <v>312</v>
      </c>
      <c r="T36" s="4" t="s">
        <v>211</v>
      </c>
      <c r="U36" s="4" t="s">
        <v>313</v>
      </c>
      <c r="V36" s="4"/>
      <c r="W36" s="4"/>
      <c r="X36" s="4"/>
      <c r="Y36" s="4" t="s">
        <v>308</v>
      </c>
      <c r="Z36" s="4"/>
      <c r="AA36" s="4" t="s">
        <v>46</v>
      </c>
    </row>
    <row r="37" customFormat="false" ht="32.8" hidden="false" customHeight="false" outlineLevel="0" collapsed="false">
      <c r="A37" s="7" t="n">
        <v>36</v>
      </c>
      <c r="B37" s="8" t="s">
        <v>314</v>
      </c>
      <c r="C37" s="7" t="s">
        <v>34</v>
      </c>
      <c r="D37" s="8" t="s">
        <v>315</v>
      </c>
      <c r="E37" s="7" t="s">
        <v>59</v>
      </c>
      <c r="F37" s="9" t="s">
        <v>316</v>
      </c>
      <c r="G37" s="9" t="s">
        <v>24</v>
      </c>
      <c r="H37" s="7" t="s">
        <v>72</v>
      </c>
      <c r="I37" s="8" t="s">
        <v>317</v>
      </c>
      <c r="J37" s="8" t="s">
        <v>318</v>
      </c>
      <c r="K37" s="4" t="s">
        <v>319</v>
      </c>
      <c r="L37" s="4"/>
      <c r="M37" s="4" t="s">
        <v>160</v>
      </c>
      <c r="N37" s="4"/>
      <c r="O37" s="4"/>
      <c r="P37" s="4"/>
      <c r="Q37" s="4" t="s">
        <v>320</v>
      </c>
      <c r="R37" s="4" t="s">
        <v>248</v>
      </c>
      <c r="S37" s="4" t="s">
        <v>321</v>
      </c>
      <c r="T37" s="4" t="s">
        <v>257</v>
      </c>
      <c r="U37" s="4"/>
      <c r="V37" s="4"/>
      <c r="W37" s="4"/>
      <c r="X37" s="4"/>
      <c r="Y37" s="4" t="s">
        <v>316</v>
      </c>
      <c r="Z37" s="4"/>
      <c r="AA37" s="4" t="s">
        <v>46</v>
      </c>
    </row>
    <row r="38" customFormat="false" ht="32.8" hidden="false" customHeight="false" outlineLevel="0" collapsed="false">
      <c r="A38" s="7" t="n">
        <v>37</v>
      </c>
      <c r="B38" s="8" t="s">
        <v>322</v>
      </c>
      <c r="C38" s="7" t="s">
        <v>34</v>
      </c>
      <c r="D38" s="8" t="s">
        <v>323</v>
      </c>
      <c r="E38" s="7" t="s">
        <v>59</v>
      </c>
      <c r="F38" s="9" t="s">
        <v>324</v>
      </c>
      <c r="G38" s="9" t="s">
        <v>24</v>
      </c>
      <c r="H38" s="7" t="s">
        <v>72</v>
      </c>
      <c r="I38" s="8" t="s">
        <v>325</v>
      </c>
      <c r="J38" s="8" t="s">
        <v>326</v>
      </c>
      <c r="K38" s="4" t="s">
        <v>327</v>
      </c>
      <c r="L38" s="4" t="s">
        <v>146</v>
      </c>
      <c r="M38" s="4" t="s">
        <v>179</v>
      </c>
      <c r="N38" s="4" t="s">
        <v>150</v>
      </c>
      <c r="O38" s="4" t="s">
        <v>112</v>
      </c>
      <c r="P38" s="4" t="s">
        <v>68</v>
      </c>
      <c r="Q38" s="4" t="s">
        <v>328</v>
      </c>
      <c r="R38" s="4"/>
      <c r="S38" s="4"/>
      <c r="T38" s="4"/>
      <c r="U38" s="4"/>
      <c r="V38" s="4"/>
      <c r="W38" s="4"/>
      <c r="X38" s="4"/>
      <c r="Y38" s="4" t="s">
        <v>324</v>
      </c>
      <c r="Z38" s="4"/>
      <c r="AA38" s="4" t="s">
        <v>46</v>
      </c>
    </row>
    <row r="39" customFormat="false" ht="22.35" hidden="false" customHeight="false" outlineLevel="0" collapsed="false">
      <c r="A39" s="5" t="n">
        <v>38</v>
      </c>
      <c r="B39" s="6" t="s">
        <v>329</v>
      </c>
      <c r="C39" s="5" t="s">
        <v>34</v>
      </c>
      <c r="D39" s="6" t="s">
        <v>330</v>
      </c>
      <c r="E39" s="5" t="s">
        <v>36</v>
      </c>
      <c r="F39" s="6" t="s">
        <v>37</v>
      </c>
      <c r="G39" s="6" t="s">
        <v>38</v>
      </c>
      <c r="H39" s="5" t="s">
        <v>39</v>
      </c>
      <c r="I39" s="6" t="s">
        <v>331</v>
      </c>
      <c r="J39" s="6" t="s">
        <v>332</v>
      </c>
      <c r="K39" s="4"/>
      <c r="L39" s="4"/>
      <c r="M39" s="4"/>
      <c r="N39" s="4" t="s">
        <v>208</v>
      </c>
      <c r="O39" s="4" t="s">
        <v>239</v>
      </c>
      <c r="P39" s="4" t="s">
        <v>333</v>
      </c>
      <c r="Q39" s="4"/>
      <c r="R39" s="4" t="s">
        <v>334</v>
      </c>
      <c r="S39" s="4" t="s">
        <v>335</v>
      </c>
      <c r="T39" s="4" t="s">
        <v>336</v>
      </c>
      <c r="U39" s="4"/>
      <c r="V39" s="4"/>
      <c r="W39" s="4"/>
      <c r="X39" s="4"/>
      <c r="Y39" s="4" t="s">
        <v>337</v>
      </c>
      <c r="Z39" s="4"/>
      <c r="AA39" s="4" t="s">
        <v>46</v>
      </c>
    </row>
    <row r="40" customFormat="false" ht="22.35" hidden="false" customHeight="false" outlineLevel="0" collapsed="false">
      <c r="A40" s="5" t="n">
        <v>39</v>
      </c>
      <c r="B40" s="6" t="s">
        <v>338</v>
      </c>
      <c r="C40" s="5" t="s">
        <v>34</v>
      </c>
      <c r="D40" s="6" t="s">
        <v>339</v>
      </c>
      <c r="E40" s="5" t="s">
        <v>36</v>
      </c>
      <c r="F40" s="6" t="s">
        <v>37</v>
      </c>
      <c r="G40" s="6" t="s">
        <v>38</v>
      </c>
      <c r="H40" s="5" t="s">
        <v>39</v>
      </c>
      <c r="I40" s="6" t="s">
        <v>340</v>
      </c>
      <c r="J40" s="6" t="s">
        <v>341</v>
      </c>
      <c r="K40" s="4"/>
      <c r="L40" s="4"/>
      <c r="M40" s="4"/>
      <c r="N40" s="4" t="s">
        <v>189</v>
      </c>
      <c r="O40" s="4" t="s">
        <v>250</v>
      </c>
      <c r="P40" s="4" t="s">
        <v>342</v>
      </c>
      <c r="Q40" s="4"/>
      <c r="R40" s="4" t="s">
        <v>343</v>
      </c>
      <c r="S40" s="4" t="s">
        <v>344</v>
      </c>
      <c r="T40" s="4" t="s">
        <v>345</v>
      </c>
      <c r="U40" s="4"/>
      <c r="V40" s="4"/>
      <c r="W40" s="4"/>
      <c r="X40" s="4"/>
      <c r="Y40" s="4" t="s">
        <v>346</v>
      </c>
      <c r="Z40" s="4"/>
      <c r="AA40" s="4" t="s">
        <v>46</v>
      </c>
    </row>
    <row r="41" customFormat="false" ht="15" hidden="false" customHeight="false" outlineLevel="0" collapsed="false">
      <c r="A41" s="7" t="n">
        <v>40</v>
      </c>
      <c r="B41" s="8" t="s">
        <v>347</v>
      </c>
      <c r="C41" s="7" t="s">
        <v>34</v>
      </c>
      <c r="D41" s="8" t="s">
        <v>348</v>
      </c>
      <c r="E41" s="7" t="s">
        <v>59</v>
      </c>
      <c r="F41" s="9" t="s">
        <v>349</v>
      </c>
      <c r="G41" s="9" t="s">
        <v>14</v>
      </c>
      <c r="H41" s="7" t="s">
        <v>72</v>
      </c>
      <c r="I41" s="8" t="s">
        <v>350</v>
      </c>
      <c r="J41" s="8" t="s">
        <v>351</v>
      </c>
      <c r="K41" s="4"/>
      <c r="L41" s="4"/>
      <c r="M41" s="4"/>
      <c r="N41" s="4" t="s">
        <v>246</v>
      </c>
      <c r="O41" s="4" t="s">
        <v>349</v>
      </c>
      <c r="P41" s="4" t="s">
        <v>352</v>
      </c>
      <c r="Q41" s="4"/>
      <c r="R41" s="4" t="s">
        <v>353</v>
      </c>
      <c r="S41" s="4" t="s">
        <v>354</v>
      </c>
      <c r="T41" s="4" t="s">
        <v>355</v>
      </c>
      <c r="U41" s="4"/>
      <c r="V41" s="4"/>
      <c r="W41" s="4"/>
      <c r="X41" s="4"/>
      <c r="Y41" s="4"/>
      <c r="Z41" s="4"/>
      <c r="AA41" s="4" t="s">
        <v>46</v>
      </c>
    </row>
    <row r="42" customFormat="false" ht="22.35" hidden="false" customHeight="false" outlineLevel="0" collapsed="false">
      <c r="A42" s="7" t="n">
        <v>41</v>
      </c>
      <c r="B42" s="8" t="s">
        <v>356</v>
      </c>
      <c r="C42" s="7" t="s">
        <v>34</v>
      </c>
      <c r="D42" s="8" t="s">
        <v>357</v>
      </c>
      <c r="E42" s="7" t="s">
        <v>59</v>
      </c>
      <c r="F42" s="9" t="s">
        <v>358</v>
      </c>
      <c r="G42" s="9" t="s">
        <v>14</v>
      </c>
      <c r="H42" s="7" t="s">
        <v>72</v>
      </c>
      <c r="I42" s="8" t="s">
        <v>359</v>
      </c>
      <c r="J42" s="8" t="s">
        <v>360</v>
      </c>
      <c r="K42" s="4" t="s">
        <v>361</v>
      </c>
      <c r="L42" s="4"/>
      <c r="M42" s="4"/>
      <c r="N42" s="4" t="s">
        <v>255</v>
      </c>
      <c r="O42" s="4" t="s">
        <v>358</v>
      </c>
      <c r="P42" s="4" t="s">
        <v>362</v>
      </c>
      <c r="Q42" s="4" t="s">
        <v>363</v>
      </c>
      <c r="R42" s="4" t="s">
        <v>364</v>
      </c>
      <c r="S42" s="4"/>
      <c r="T42" s="4" t="s">
        <v>365</v>
      </c>
      <c r="U42" s="4"/>
      <c r="V42" s="4"/>
      <c r="W42" s="4"/>
      <c r="X42" s="4"/>
      <c r="Y42" s="4"/>
      <c r="Z42" s="4"/>
      <c r="AA42" s="4" t="s">
        <v>46</v>
      </c>
    </row>
    <row r="43" customFormat="false" ht="15" hidden="false" customHeight="false" outlineLevel="0" collapsed="false">
      <c r="A43" s="7" t="n">
        <v>42</v>
      </c>
      <c r="B43" s="8" t="s">
        <v>366</v>
      </c>
      <c r="C43" s="7" t="s">
        <v>34</v>
      </c>
      <c r="D43" s="8" t="s">
        <v>367</v>
      </c>
      <c r="E43" s="7" t="s">
        <v>59</v>
      </c>
      <c r="F43" s="9" t="s">
        <v>368</v>
      </c>
      <c r="G43" s="9" t="s">
        <v>24</v>
      </c>
      <c r="H43" s="7" t="s">
        <v>72</v>
      </c>
      <c r="I43" s="8" t="s">
        <v>369</v>
      </c>
      <c r="J43" s="8" t="s">
        <v>370</v>
      </c>
      <c r="K43" s="4" t="s">
        <v>371</v>
      </c>
      <c r="L43" s="4" t="s">
        <v>84</v>
      </c>
      <c r="M43" s="4"/>
      <c r="N43" s="4" t="s">
        <v>355</v>
      </c>
      <c r="O43" s="4"/>
      <c r="P43" s="4" t="s">
        <v>66</v>
      </c>
      <c r="Q43" s="4" t="s">
        <v>334</v>
      </c>
      <c r="R43" s="4" t="s">
        <v>93</v>
      </c>
      <c r="S43" s="4" t="s">
        <v>372</v>
      </c>
      <c r="T43" s="4" t="s">
        <v>354</v>
      </c>
      <c r="U43" s="4"/>
      <c r="V43" s="4" t="s">
        <v>373</v>
      </c>
      <c r="W43" s="4" t="s">
        <v>374</v>
      </c>
      <c r="X43" s="4" t="s">
        <v>375</v>
      </c>
      <c r="Y43" s="4" t="s">
        <v>368</v>
      </c>
      <c r="Z43" s="4" t="s">
        <v>287</v>
      </c>
      <c r="AA43" s="4" t="s">
        <v>46</v>
      </c>
    </row>
    <row r="44" customFormat="false" ht="22.35" hidden="false" customHeight="false" outlineLevel="0" collapsed="false">
      <c r="A44" s="7" t="n">
        <v>43</v>
      </c>
      <c r="B44" s="8" t="s">
        <v>376</v>
      </c>
      <c r="C44" s="7" t="s">
        <v>34</v>
      </c>
      <c r="D44" s="8" t="s">
        <v>377</v>
      </c>
      <c r="E44" s="7" t="s">
        <v>59</v>
      </c>
      <c r="F44" s="9" t="s">
        <v>378</v>
      </c>
      <c r="G44" s="9" t="s">
        <v>24</v>
      </c>
      <c r="H44" s="7" t="s">
        <v>72</v>
      </c>
      <c r="I44" s="8" t="s">
        <v>379</v>
      </c>
      <c r="J44" s="8" t="s">
        <v>380</v>
      </c>
      <c r="K44" s="4" t="s">
        <v>381</v>
      </c>
      <c r="L44" s="4"/>
      <c r="M44" s="4"/>
      <c r="N44" s="4" t="s">
        <v>268</v>
      </c>
      <c r="O44" s="4"/>
      <c r="P44" s="4" t="s">
        <v>227</v>
      </c>
      <c r="Q44" s="4" t="s">
        <v>343</v>
      </c>
      <c r="R44" s="4" t="s">
        <v>101</v>
      </c>
      <c r="S44" s="4" t="s">
        <v>228</v>
      </c>
      <c r="T44" s="4" t="s">
        <v>344</v>
      </c>
      <c r="U44" s="4" t="s">
        <v>235</v>
      </c>
      <c r="V44" s="4" t="s">
        <v>156</v>
      </c>
      <c r="W44" s="4"/>
      <c r="X44" s="4"/>
      <c r="Y44" s="4" t="s">
        <v>378</v>
      </c>
      <c r="Z44" s="4" t="s">
        <v>382</v>
      </c>
      <c r="AA44" s="4" t="s">
        <v>46</v>
      </c>
    </row>
    <row r="45" customFormat="false" ht="22.35" hidden="false" customHeight="false" outlineLevel="0" collapsed="false">
      <c r="A45" s="5" t="n">
        <v>44</v>
      </c>
      <c r="B45" s="6" t="s">
        <v>383</v>
      </c>
      <c r="C45" s="5" t="s">
        <v>34</v>
      </c>
      <c r="D45" s="6" t="s">
        <v>384</v>
      </c>
      <c r="E45" s="5" t="s">
        <v>36</v>
      </c>
      <c r="F45" s="6" t="s">
        <v>37</v>
      </c>
      <c r="G45" s="6" t="s">
        <v>38</v>
      </c>
      <c r="H45" s="5" t="s">
        <v>39</v>
      </c>
      <c r="I45" s="6" t="s">
        <v>385</v>
      </c>
      <c r="J45" s="6" t="s">
        <v>386</v>
      </c>
      <c r="K45" s="4" t="s">
        <v>387</v>
      </c>
      <c r="L45" s="4"/>
      <c r="M45" s="4" t="s">
        <v>388</v>
      </c>
      <c r="N45" s="4"/>
      <c r="O45" s="4" t="s">
        <v>389</v>
      </c>
      <c r="P45" s="4" t="s">
        <v>303</v>
      </c>
      <c r="Q45" s="4" t="s">
        <v>320</v>
      </c>
      <c r="R45" s="4" t="s">
        <v>111</v>
      </c>
      <c r="S45" s="4" t="s">
        <v>238</v>
      </c>
      <c r="T45" s="4" t="s">
        <v>335</v>
      </c>
      <c r="U45" s="4"/>
      <c r="V45" s="4" t="s">
        <v>175</v>
      </c>
      <c r="W45" s="4" t="s">
        <v>137</v>
      </c>
      <c r="X45" s="4" t="s">
        <v>123</v>
      </c>
      <c r="Y45" s="4" t="s">
        <v>390</v>
      </c>
      <c r="Z45" s="4" t="s">
        <v>104</v>
      </c>
      <c r="AA45" s="4" t="s">
        <v>46</v>
      </c>
    </row>
    <row r="46" customFormat="false" ht="22.35" hidden="false" customHeight="false" outlineLevel="0" collapsed="false">
      <c r="A46" s="7" t="n">
        <v>45</v>
      </c>
      <c r="B46" s="8" t="s">
        <v>391</v>
      </c>
      <c r="C46" s="7" t="s">
        <v>34</v>
      </c>
      <c r="D46" s="8" t="s">
        <v>392</v>
      </c>
      <c r="E46" s="7" t="s">
        <v>59</v>
      </c>
      <c r="F46" s="9" t="s">
        <v>393</v>
      </c>
      <c r="G46" s="9" t="s">
        <v>20</v>
      </c>
      <c r="H46" s="7" t="s">
        <v>62</v>
      </c>
      <c r="I46" s="8" t="s">
        <v>394</v>
      </c>
      <c r="J46" s="8" t="s">
        <v>395</v>
      </c>
      <c r="K46" s="4" t="s">
        <v>396</v>
      </c>
      <c r="L46" s="4"/>
      <c r="M46" s="4"/>
      <c r="N46" s="4"/>
      <c r="O46" s="4"/>
      <c r="P46" s="4"/>
      <c r="Q46" s="4" t="s">
        <v>328</v>
      </c>
      <c r="R46" s="4" t="s">
        <v>44</v>
      </c>
      <c r="S46" s="4" t="s">
        <v>397</v>
      </c>
      <c r="T46" s="4" t="s">
        <v>136</v>
      </c>
      <c r="U46" s="4" t="s">
        <v>393</v>
      </c>
      <c r="V46" s="4" t="s">
        <v>398</v>
      </c>
      <c r="W46" s="4" t="s">
        <v>122</v>
      </c>
      <c r="X46" s="4" t="s">
        <v>124</v>
      </c>
      <c r="Y46" s="4" t="s">
        <v>399</v>
      </c>
      <c r="Z46" s="4"/>
      <c r="AA46" s="4" t="s">
        <v>46</v>
      </c>
    </row>
    <row r="47" customFormat="false" ht="22.35" hidden="false" customHeight="false" outlineLevel="0" collapsed="false">
      <c r="A47" s="7" t="n">
        <v>46</v>
      </c>
      <c r="B47" s="8" t="s">
        <v>400</v>
      </c>
      <c r="C47" s="7" t="s">
        <v>34</v>
      </c>
      <c r="D47" s="8" t="s">
        <v>401</v>
      </c>
      <c r="E47" s="7" t="s">
        <v>59</v>
      </c>
      <c r="F47" s="9" t="s">
        <v>402</v>
      </c>
      <c r="G47" s="9" t="s">
        <v>20</v>
      </c>
      <c r="H47" s="7" t="s">
        <v>72</v>
      </c>
      <c r="I47" s="8" t="s">
        <v>403</v>
      </c>
      <c r="J47" s="8" t="s">
        <v>404</v>
      </c>
      <c r="K47" s="4" t="s">
        <v>405</v>
      </c>
      <c r="L47" s="4"/>
      <c r="M47" s="4" t="s">
        <v>207</v>
      </c>
      <c r="N47" s="4"/>
      <c r="O47" s="4"/>
      <c r="P47" s="4"/>
      <c r="Q47" s="4" t="s">
        <v>363</v>
      </c>
      <c r="R47" s="4" t="s">
        <v>248</v>
      </c>
      <c r="S47" s="4" t="s">
        <v>406</v>
      </c>
      <c r="T47" s="4" t="s">
        <v>159</v>
      </c>
      <c r="U47" s="4" t="s">
        <v>402</v>
      </c>
      <c r="V47" s="4" t="s">
        <v>407</v>
      </c>
      <c r="W47" s="4" t="s">
        <v>226</v>
      </c>
      <c r="X47" s="4"/>
      <c r="Y47" s="4" t="s">
        <v>408</v>
      </c>
      <c r="Z47" s="4"/>
      <c r="AA47" s="4" t="s">
        <v>46</v>
      </c>
    </row>
    <row r="48" customFormat="false" ht="15" hidden="false" customHeight="false" outlineLevel="0" collapsed="false">
      <c r="A48" s="2" t="n">
        <v>47</v>
      </c>
      <c r="B48" s="3" t="s">
        <v>163</v>
      </c>
      <c r="C48" s="2" t="s">
        <v>28</v>
      </c>
      <c r="D48" s="3" t="s">
        <v>164</v>
      </c>
      <c r="E48" s="2" t="s">
        <v>28</v>
      </c>
      <c r="F48" s="3" t="s">
        <v>165</v>
      </c>
      <c r="G48" s="3" t="s">
        <v>28</v>
      </c>
      <c r="H48" s="2" t="s">
        <v>31</v>
      </c>
      <c r="I48" s="3"/>
      <c r="J48" s="3" t="s">
        <v>166</v>
      </c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</row>
    <row r="49" customFormat="false" ht="15" hidden="false" customHeight="false" outlineLevel="0" collapsed="false">
      <c r="A49" s="2" t="n">
        <v>48</v>
      </c>
      <c r="B49" s="3" t="s">
        <v>167</v>
      </c>
      <c r="C49" s="2" t="s">
        <v>28</v>
      </c>
      <c r="D49" s="3" t="s">
        <v>29</v>
      </c>
      <c r="E49" s="2" t="s">
        <v>28</v>
      </c>
      <c r="F49" s="3" t="s">
        <v>168</v>
      </c>
      <c r="G49" s="3" t="s">
        <v>28</v>
      </c>
      <c r="H49" s="2" t="s">
        <v>31</v>
      </c>
      <c r="I49" s="3"/>
      <c r="J49" s="3" t="s">
        <v>169</v>
      </c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</row>
    <row r="50" customFormat="false" ht="22.35" hidden="false" customHeight="false" outlineLevel="0" collapsed="false">
      <c r="A50" s="7" t="n">
        <v>49</v>
      </c>
      <c r="B50" s="8" t="s">
        <v>409</v>
      </c>
      <c r="C50" s="7" t="s">
        <v>34</v>
      </c>
      <c r="D50" s="8" t="s">
        <v>410</v>
      </c>
      <c r="E50" s="7" t="s">
        <v>59</v>
      </c>
      <c r="F50" s="9" t="s">
        <v>411</v>
      </c>
      <c r="G50" s="9" t="s">
        <v>412</v>
      </c>
      <c r="H50" s="7" t="s">
        <v>80</v>
      </c>
      <c r="I50" s="8" t="s">
        <v>413</v>
      </c>
      <c r="J50" s="8" t="s">
        <v>414</v>
      </c>
      <c r="K50" s="4"/>
      <c r="L50" s="4" t="s">
        <v>411</v>
      </c>
      <c r="M50" s="4" t="s">
        <v>415</v>
      </c>
      <c r="N50" s="4"/>
      <c r="O50" s="4" t="s">
        <v>336</v>
      </c>
      <c r="P50" s="4" t="s">
        <v>416</v>
      </c>
      <c r="Q50" s="4" t="s">
        <v>417</v>
      </c>
      <c r="R50" s="4"/>
      <c r="S50" s="4" t="s">
        <v>312</v>
      </c>
      <c r="T50" s="4"/>
      <c r="U50" s="4"/>
      <c r="V50" s="4" t="s">
        <v>418</v>
      </c>
      <c r="W50" s="4"/>
      <c r="X50" s="4"/>
      <c r="Y50" s="4" t="s">
        <v>419</v>
      </c>
      <c r="Z50" s="4"/>
      <c r="AA50" s="4" t="s">
        <v>46</v>
      </c>
    </row>
    <row r="51" customFormat="false" ht="22.35" hidden="false" customHeight="false" outlineLevel="0" collapsed="false">
      <c r="A51" s="7" t="n">
        <v>50</v>
      </c>
      <c r="B51" s="8" t="s">
        <v>420</v>
      </c>
      <c r="C51" s="7" t="s">
        <v>34</v>
      </c>
      <c r="D51" s="8" t="s">
        <v>421</v>
      </c>
      <c r="E51" s="7" t="s">
        <v>59</v>
      </c>
      <c r="F51" s="9" t="s">
        <v>422</v>
      </c>
      <c r="G51" s="9" t="s">
        <v>412</v>
      </c>
      <c r="H51" s="7" t="s">
        <v>62</v>
      </c>
      <c r="I51" s="8" t="s">
        <v>423</v>
      </c>
      <c r="J51" s="8" t="s">
        <v>424</v>
      </c>
      <c r="K51" s="4"/>
      <c r="L51" s="4" t="s">
        <v>422</v>
      </c>
      <c r="M51" s="4" t="s">
        <v>100</v>
      </c>
      <c r="N51" s="4"/>
      <c r="O51" s="4" t="s">
        <v>425</v>
      </c>
      <c r="P51" s="4" t="s">
        <v>426</v>
      </c>
      <c r="Q51" s="4" t="s">
        <v>342</v>
      </c>
      <c r="R51" s="4" t="s">
        <v>43</v>
      </c>
      <c r="S51" s="4" t="s">
        <v>158</v>
      </c>
      <c r="T51" s="4"/>
      <c r="U51" s="4"/>
      <c r="V51" s="4"/>
      <c r="W51" s="4"/>
      <c r="X51" s="4"/>
      <c r="Y51" s="4" t="s">
        <v>193</v>
      </c>
      <c r="Z51" s="4"/>
      <c r="AA51" s="4" t="s">
        <v>46</v>
      </c>
    </row>
    <row r="52" customFormat="false" ht="32.8" hidden="false" customHeight="false" outlineLevel="0" collapsed="false">
      <c r="A52" s="7" t="n">
        <v>51</v>
      </c>
      <c r="B52" s="8" t="s">
        <v>427</v>
      </c>
      <c r="C52" s="7" t="s">
        <v>34</v>
      </c>
      <c r="D52" s="8" t="s">
        <v>428</v>
      </c>
      <c r="E52" s="7" t="s">
        <v>59</v>
      </c>
      <c r="F52" s="9" t="s">
        <v>429</v>
      </c>
      <c r="G52" s="9" t="s">
        <v>24</v>
      </c>
      <c r="H52" s="7" t="s">
        <v>62</v>
      </c>
      <c r="I52" s="8" t="s">
        <v>430</v>
      </c>
      <c r="J52" s="8" t="s">
        <v>431</v>
      </c>
      <c r="K52" s="4" t="s">
        <v>432</v>
      </c>
      <c r="L52" s="4" t="s">
        <v>433</v>
      </c>
      <c r="M52" s="4" t="s">
        <v>133</v>
      </c>
      <c r="N52" s="4" t="s">
        <v>333</v>
      </c>
      <c r="O52" s="4"/>
      <c r="P52" s="4" t="s">
        <v>416</v>
      </c>
      <c r="Q52" s="4" t="s">
        <v>190</v>
      </c>
      <c r="R52" s="4" t="s">
        <v>191</v>
      </c>
      <c r="S52" s="4" t="s">
        <v>178</v>
      </c>
      <c r="T52" s="4" t="s">
        <v>434</v>
      </c>
      <c r="U52" s="4" t="s">
        <v>43</v>
      </c>
      <c r="V52" s="4"/>
      <c r="W52" s="4" t="s">
        <v>435</v>
      </c>
      <c r="X52" s="4"/>
      <c r="Y52" s="4" t="s">
        <v>436</v>
      </c>
      <c r="Z52" s="4" t="s">
        <v>139</v>
      </c>
      <c r="AA52" s="4" t="s">
        <v>46</v>
      </c>
    </row>
    <row r="53" customFormat="false" ht="22.35" hidden="false" customHeight="false" outlineLevel="0" collapsed="false">
      <c r="A53" s="7" t="n">
        <v>52</v>
      </c>
      <c r="B53" s="8" t="s">
        <v>437</v>
      </c>
      <c r="C53" s="7" t="s">
        <v>34</v>
      </c>
      <c r="D53" s="8" t="s">
        <v>438</v>
      </c>
      <c r="E53" s="7" t="s">
        <v>59</v>
      </c>
      <c r="F53" s="9" t="s">
        <v>439</v>
      </c>
      <c r="G53" s="9" t="s">
        <v>440</v>
      </c>
      <c r="H53" s="7" t="s">
        <v>72</v>
      </c>
      <c r="I53" s="8" t="s">
        <v>441</v>
      </c>
      <c r="J53" s="8" t="s">
        <v>442</v>
      </c>
      <c r="K53" s="4" t="s">
        <v>83</v>
      </c>
      <c r="L53" s="4"/>
      <c r="M53" s="4"/>
      <c r="N53" s="4"/>
      <c r="O53" s="4"/>
      <c r="P53" s="4" t="s">
        <v>218</v>
      </c>
      <c r="Q53" s="4" t="s">
        <v>443</v>
      </c>
      <c r="R53" s="4" t="s">
        <v>444</v>
      </c>
      <c r="S53" s="4" t="s">
        <v>285</v>
      </c>
      <c r="T53" s="4"/>
      <c r="U53" s="4"/>
      <c r="V53" s="4"/>
      <c r="W53" s="4"/>
      <c r="X53" s="4"/>
      <c r="Y53" s="4" t="s">
        <v>445</v>
      </c>
      <c r="Z53" s="4"/>
      <c r="AA53" s="4" t="s">
        <v>46</v>
      </c>
    </row>
    <row r="54" customFormat="false" ht="22.35" hidden="false" customHeight="false" outlineLevel="0" collapsed="false">
      <c r="A54" s="7" t="n">
        <v>53</v>
      </c>
      <c r="B54" s="8" t="s">
        <v>446</v>
      </c>
      <c r="C54" s="7" t="s">
        <v>34</v>
      </c>
      <c r="D54" s="8" t="s">
        <v>447</v>
      </c>
      <c r="E54" s="7" t="s">
        <v>59</v>
      </c>
      <c r="F54" s="9" t="s">
        <v>439</v>
      </c>
      <c r="G54" s="9" t="s">
        <v>440</v>
      </c>
      <c r="H54" s="7" t="s">
        <v>72</v>
      </c>
      <c r="I54" s="8" t="s">
        <v>448</v>
      </c>
      <c r="J54" s="8" t="s">
        <v>449</v>
      </c>
      <c r="K54" s="4" t="s">
        <v>450</v>
      </c>
      <c r="L54" s="4"/>
      <c r="M54" s="4"/>
      <c r="N54" s="4"/>
      <c r="O54" s="4" t="s">
        <v>451</v>
      </c>
      <c r="P54" s="4" t="s">
        <v>247</v>
      </c>
      <c r="Q54" s="4" t="s">
        <v>452</v>
      </c>
      <c r="R54" s="4" t="s">
        <v>453</v>
      </c>
      <c r="S54" s="4" t="s">
        <v>294</v>
      </c>
      <c r="T54" s="4" t="s">
        <v>365</v>
      </c>
      <c r="U54" s="4"/>
      <c r="V54" s="4"/>
      <c r="W54" s="4"/>
      <c r="X54" s="4"/>
      <c r="Y54" s="4"/>
      <c r="Z54" s="4"/>
      <c r="AA54" s="4" t="s">
        <v>46</v>
      </c>
    </row>
    <row r="55" customFormat="false" ht="32.8" hidden="false" customHeight="false" outlineLevel="0" collapsed="false">
      <c r="A55" s="5" t="n">
        <v>54</v>
      </c>
      <c r="B55" s="6" t="s">
        <v>454</v>
      </c>
      <c r="C55" s="5" t="s">
        <v>34</v>
      </c>
      <c r="D55" s="6" t="s">
        <v>455</v>
      </c>
      <c r="E55" s="5" t="s">
        <v>36</v>
      </c>
      <c r="F55" s="6" t="s">
        <v>37</v>
      </c>
      <c r="G55" s="6" t="s">
        <v>38</v>
      </c>
      <c r="H55" s="5" t="s">
        <v>39</v>
      </c>
      <c r="I55" s="6" t="s">
        <v>456</v>
      </c>
      <c r="J55" s="6" t="s">
        <v>457</v>
      </c>
      <c r="K55" s="4"/>
      <c r="L55" s="4"/>
      <c r="M55" s="4" t="s">
        <v>148</v>
      </c>
      <c r="N55" s="4"/>
      <c r="O55" s="4" t="s">
        <v>458</v>
      </c>
      <c r="P55" s="4" t="s">
        <v>256</v>
      </c>
      <c r="Q55" s="4" t="s">
        <v>459</v>
      </c>
      <c r="R55" s="4" t="s">
        <v>460</v>
      </c>
      <c r="S55" s="4" t="s">
        <v>304</v>
      </c>
      <c r="T55" s="4"/>
      <c r="U55" s="4"/>
      <c r="V55" s="4"/>
      <c r="W55" s="4"/>
      <c r="X55" s="4"/>
      <c r="Y55" s="4"/>
      <c r="Z55" s="4" t="s">
        <v>162</v>
      </c>
      <c r="AA55" s="4" t="s">
        <v>46</v>
      </c>
    </row>
    <row r="56" customFormat="false" ht="22.35" hidden="false" customHeight="false" outlineLevel="0" collapsed="false">
      <c r="A56" s="5" t="n">
        <v>55</v>
      </c>
      <c r="B56" s="6" t="s">
        <v>461</v>
      </c>
      <c r="C56" s="5" t="s">
        <v>34</v>
      </c>
      <c r="D56" s="6" t="s">
        <v>462</v>
      </c>
      <c r="E56" s="5" t="s">
        <v>36</v>
      </c>
      <c r="F56" s="6" t="s">
        <v>37</v>
      </c>
      <c r="G56" s="6" t="s">
        <v>38</v>
      </c>
      <c r="H56" s="5" t="s">
        <v>39</v>
      </c>
      <c r="I56" s="6" t="s">
        <v>463</v>
      </c>
      <c r="J56" s="6" t="s">
        <v>464</v>
      </c>
      <c r="K56" s="4" t="s">
        <v>465</v>
      </c>
      <c r="L56" s="4"/>
      <c r="M56" s="4"/>
      <c r="N56" s="4" t="s">
        <v>466</v>
      </c>
      <c r="O56" s="4"/>
      <c r="P56" s="4" t="s">
        <v>137</v>
      </c>
      <c r="Q56" s="4" t="s">
        <v>467</v>
      </c>
      <c r="R56" s="4"/>
      <c r="S56" s="4"/>
      <c r="T56" s="4"/>
      <c r="U56" s="4"/>
      <c r="V56" s="4"/>
      <c r="W56" s="4"/>
      <c r="X56" s="4"/>
      <c r="Y56" s="4"/>
      <c r="Z56" s="4"/>
      <c r="AA56" s="4" t="s">
        <v>46</v>
      </c>
    </row>
    <row r="57" customFormat="false" ht="22.35" hidden="false" customHeight="false" outlineLevel="0" collapsed="false">
      <c r="A57" s="7" t="n">
        <v>56</v>
      </c>
      <c r="B57" s="8" t="s">
        <v>468</v>
      </c>
      <c r="C57" s="7" t="s">
        <v>34</v>
      </c>
      <c r="D57" s="8" t="s">
        <v>469</v>
      </c>
      <c r="E57" s="7" t="s">
        <v>59</v>
      </c>
      <c r="F57" s="9" t="s">
        <v>470</v>
      </c>
      <c r="G57" s="9" t="s">
        <v>412</v>
      </c>
      <c r="H57" s="7" t="s">
        <v>72</v>
      </c>
      <c r="I57" s="8" t="s">
        <v>471</v>
      </c>
      <c r="J57" s="8" t="s">
        <v>472</v>
      </c>
      <c r="K57" s="4" t="s">
        <v>473</v>
      </c>
      <c r="L57" s="4" t="s">
        <v>470</v>
      </c>
      <c r="M57" s="4" t="s">
        <v>147</v>
      </c>
      <c r="N57" s="4" t="s">
        <v>373</v>
      </c>
      <c r="O57" s="4" t="s">
        <v>389</v>
      </c>
      <c r="P57" s="4" t="s">
        <v>218</v>
      </c>
      <c r="Q57" s="4" t="s">
        <v>200</v>
      </c>
      <c r="R57" s="4" t="s">
        <v>444</v>
      </c>
      <c r="S57" s="4" t="s">
        <v>158</v>
      </c>
      <c r="T57" s="4"/>
      <c r="U57" s="4"/>
      <c r="V57" s="4" t="s">
        <v>466</v>
      </c>
      <c r="W57" s="4" t="s">
        <v>374</v>
      </c>
      <c r="X57" s="4" t="s">
        <v>260</v>
      </c>
      <c r="Y57" s="4" t="s">
        <v>474</v>
      </c>
      <c r="Z57" s="4" t="s">
        <v>475</v>
      </c>
      <c r="AA57" s="4" t="s">
        <v>46</v>
      </c>
    </row>
    <row r="58" customFormat="false" ht="22.35" hidden="false" customHeight="false" outlineLevel="0" collapsed="false">
      <c r="A58" s="5" t="n">
        <v>57</v>
      </c>
      <c r="B58" s="6" t="s">
        <v>476</v>
      </c>
      <c r="C58" s="5" t="s">
        <v>34</v>
      </c>
      <c r="D58" s="6" t="s">
        <v>477</v>
      </c>
      <c r="E58" s="5" t="s">
        <v>36</v>
      </c>
      <c r="F58" s="6" t="s">
        <v>37</v>
      </c>
      <c r="G58" s="6" t="s">
        <v>38</v>
      </c>
      <c r="H58" s="5" t="s">
        <v>39</v>
      </c>
      <c r="I58" s="6" t="s">
        <v>478</v>
      </c>
      <c r="J58" s="6" t="s">
        <v>479</v>
      </c>
      <c r="K58" s="4" t="s">
        <v>480</v>
      </c>
      <c r="L58" s="4" t="s">
        <v>481</v>
      </c>
      <c r="M58" s="4" t="s">
        <v>207</v>
      </c>
      <c r="N58" s="4" t="s">
        <v>208</v>
      </c>
      <c r="O58" s="4"/>
      <c r="P58" s="4" t="s">
        <v>247</v>
      </c>
      <c r="Q58" s="4" t="s">
        <v>209</v>
      </c>
      <c r="R58" s="4" t="s">
        <v>453</v>
      </c>
      <c r="S58" s="4" t="s">
        <v>178</v>
      </c>
      <c r="T58" s="4" t="s">
        <v>482</v>
      </c>
      <c r="U58" s="4"/>
      <c r="V58" s="4" t="s">
        <v>388</v>
      </c>
      <c r="W58" s="4" t="s">
        <v>435</v>
      </c>
      <c r="X58" s="4"/>
      <c r="Y58" s="4" t="s">
        <v>483</v>
      </c>
      <c r="Z58" s="4" t="s">
        <v>484</v>
      </c>
      <c r="AA58" s="4" t="s">
        <v>46</v>
      </c>
    </row>
    <row r="59" customFormat="false" ht="22.35" hidden="false" customHeight="false" outlineLevel="0" collapsed="false">
      <c r="A59" s="5" t="n">
        <v>58</v>
      </c>
      <c r="B59" s="6" t="s">
        <v>485</v>
      </c>
      <c r="C59" s="5" t="s">
        <v>34</v>
      </c>
      <c r="D59" s="6" t="s">
        <v>486</v>
      </c>
      <c r="E59" s="5" t="s">
        <v>36</v>
      </c>
      <c r="F59" s="6" t="s">
        <v>37</v>
      </c>
      <c r="G59" s="6" t="s">
        <v>38</v>
      </c>
      <c r="H59" s="5" t="s">
        <v>39</v>
      </c>
      <c r="I59" s="6" t="s">
        <v>487</v>
      </c>
      <c r="J59" s="6" t="s">
        <v>488</v>
      </c>
      <c r="K59" s="4"/>
      <c r="L59" s="4"/>
      <c r="M59" s="4" t="s">
        <v>489</v>
      </c>
      <c r="N59" s="4" t="s">
        <v>189</v>
      </c>
      <c r="O59" s="4" t="s">
        <v>256</v>
      </c>
      <c r="P59" s="4" t="s">
        <v>490</v>
      </c>
      <c r="Q59" s="4" t="s">
        <v>219</v>
      </c>
      <c r="R59" s="4" t="s">
        <v>460</v>
      </c>
      <c r="S59" s="4" t="s">
        <v>192</v>
      </c>
      <c r="T59" s="4" t="s">
        <v>365</v>
      </c>
      <c r="U59" s="4" t="s">
        <v>305</v>
      </c>
      <c r="V59" s="4" t="s">
        <v>217</v>
      </c>
      <c r="W59" s="4" t="s">
        <v>92</v>
      </c>
      <c r="X59" s="4" t="s">
        <v>419</v>
      </c>
      <c r="Y59" s="4" t="s">
        <v>491</v>
      </c>
      <c r="Z59" s="4" t="s">
        <v>492</v>
      </c>
      <c r="AA59" s="4" t="s">
        <v>46</v>
      </c>
    </row>
    <row r="60" customFormat="false" ht="15" hidden="false" customHeight="false" outlineLevel="0" collapsed="false">
      <c r="A60" s="7" t="n">
        <v>59</v>
      </c>
      <c r="B60" s="8" t="s">
        <v>493</v>
      </c>
      <c r="C60" s="7" t="s">
        <v>34</v>
      </c>
      <c r="D60" s="8" t="s">
        <v>494</v>
      </c>
      <c r="E60" s="7" t="s">
        <v>59</v>
      </c>
      <c r="F60" s="9" t="s">
        <v>495</v>
      </c>
      <c r="G60" s="9" t="s">
        <v>496</v>
      </c>
      <c r="H60" s="7" t="s">
        <v>80</v>
      </c>
      <c r="I60" s="8" t="s">
        <v>497</v>
      </c>
      <c r="J60" s="8" t="s">
        <v>498</v>
      </c>
      <c r="K60" s="4" t="s">
        <v>499</v>
      </c>
      <c r="L60" s="4"/>
      <c r="M60" s="4" t="s">
        <v>415</v>
      </c>
      <c r="N60" s="4" t="s">
        <v>398</v>
      </c>
      <c r="O60" s="4"/>
      <c r="P60" s="4"/>
      <c r="Q60" s="4" t="s">
        <v>333</v>
      </c>
      <c r="R60" s="4" t="s">
        <v>138</v>
      </c>
      <c r="S60" s="4" t="s">
        <v>228</v>
      </c>
      <c r="T60" s="4" t="s">
        <v>257</v>
      </c>
      <c r="U60" s="4" t="s">
        <v>313</v>
      </c>
      <c r="V60" s="4" t="s">
        <v>364</v>
      </c>
      <c r="W60" s="4" t="s">
        <v>121</v>
      </c>
      <c r="X60" s="4" t="s">
        <v>269</v>
      </c>
      <c r="Y60" s="4" t="s">
        <v>500</v>
      </c>
      <c r="Z60" s="4" t="s">
        <v>193</v>
      </c>
      <c r="AA60" s="4" t="s">
        <v>46</v>
      </c>
    </row>
    <row r="61" customFormat="false" ht="15" hidden="false" customHeight="false" outlineLevel="0" collapsed="false">
      <c r="A61" s="7" t="n">
        <v>60</v>
      </c>
      <c r="B61" s="8" t="s">
        <v>501</v>
      </c>
      <c r="C61" s="7" t="s">
        <v>34</v>
      </c>
      <c r="D61" s="8" t="s">
        <v>502</v>
      </c>
      <c r="E61" s="7" t="s">
        <v>59</v>
      </c>
      <c r="F61" s="9" t="s">
        <v>495</v>
      </c>
      <c r="G61" s="9" t="s">
        <v>496</v>
      </c>
      <c r="H61" s="7" t="s">
        <v>80</v>
      </c>
      <c r="I61" s="8" t="s">
        <v>503</v>
      </c>
      <c r="J61" s="8" t="s">
        <v>504</v>
      </c>
      <c r="K61" s="4" t="s">
        <v>505</v>
      </c>
      <c r="L61" s="4"/>
      <c r="M61" s="4" t="s">
        <v>506</v>
      </c>
      <c r="N61" s="4" t="s">
        <v>407</v>
      </c>
      <c r="O61" s="4" t="s">
        <v>345</v>
      </c>
      <c r="P61" s="4" t="s">
        <v>426</v>
      </c>
      <c r="Q61" s="4" t="s">
        <v>137</v>
      </c>
      <c r="R61" s="4"/>
      <c r="S61" s="4" t="s">
        <v>238</v>
      </c>
      <c r="T61" s="4" t="s">
        <v>112</v>
      </c>
      <c r="U61" s="4"/>
      <c r="V61" s="4" t="s">
        <v>255</v>
      </c>
      <c r="W61" s="4" t="s">
        <v>110</v>
      </c>
      <c r="X61" s="4" t="s">
        <v>507</v>
      </c>
      <c r="Y61" s="4" t="s">
        <v>508</v>
      </c>
      <c r="Z61" s="4" t="s">
        <v>509</v>
      </c>
      <c r="AA61" s="4" t="s">
        <v>46</v>
      </c>
    </row>
    <row r="62" customFormat="false" ht="22.35" hidden="false" customHeight="false" outlineLevel="0" collapsed="false">
      <c r="A62" s="7" t="n">
        <v>61</v>
      </c>
      <c r="B62" s="8" t="s">
        <v>510</v>
      </c>
      <c r="C62" s="7" t="s">
        <v>34</v>
      </c>
      <c r="D62" s="8" t="s">
        <v>511</v>
      </c>
      <c r="E62" s="7" t="s">
        <v>59</v>
      </c>
      <c r="F62" s="9" t="s">
        <v>511</v>
      </c>
      <c r="G62" s="9" t="s">
        <v>512</v>
      </c>
      <c r="H62" s="7" t="s">
        <v>62</v>
      </c>
      <c r="I62" s="8" t="s">
        <v>513</v>
      </c>
      <c r="J62" s="8" t="s">
        <v>514</v>
      </c>
      <c r="K62" s="4"/>
      <c r="L62" s="4"/>
      <c r="M62" s="4" t="s">
        <v>207</v>
      </c>
      <c r="N62" s="4" t="s">
        <v>418</v>
      </c>
      <c r="O62" s="4" t="s">
        <v>177</v>
      </c>
      <c r="P62" s="4" t="s">
        <v>416</v>
      </c>
      <c r="Q62" s="4"/>
      <c r="R62" s="4"/>
      <c r="S62" s="4" t="s">
        <v>294</v>
      </c>
      <c r="T62" s="4" t="s">
        <v>136</v>
      </c>
      <c r="U62" s="4" t="s">
        <v>393</v>
      </c>
      <c r="V62" s="4" t="s">
        <v>342</v>
      </c>
      <c r="W62" s="4"/>
      <c r="X62" s="4" t="s">
        <v>43</v>
      </c>
      <c r="Y62" s="4" t="s">
        <v>515</v>
      </c>
      <c r="Z62" s="4" t="s">
        <v>181</v>
      </c>
      <c r="AA62" s="4" t="s">
        <v>46</v>
      </c>
    </row>
    <row r="63" customFormat="false" ht="22.35" hidden="false" customHeight="false" outlineLevel="0" collapsed="false">
      <c r="A63" s="7" t="n">
        <v>62</v>
      </c>
      <c r="B63" s="8" t="s">
        <v>516</v>
      </c>
      <c r="C63" s="7" t="s">
        <v>34</v>
      </c>
      <c r="D63" s="8" t="s">
        <v>517</v>
      </c>
      <c r="E63" s="7" t="s">
        <v>59</v>
      </c>
      <c r="F63" s="9" t="s">
        <v>439</v>
      </c>
      <c r="G63" s="9" t="s">
        <v>440</v>
      </c>
      <c r="H63" s="7" t="s">
        <v>72</v>
      </c>
      <c r="I63" s="8" t="s">
        <v>518</v>
      </c>
      <c r="J63" s="8" t="s">
        <v>519</v>
      </c>
      <c r="K63" s="4" t="s">
        <v>361</v>
      </c>
      <c r="L63" s="4"/>
      <c r="M63" s="4" t="s">
        <v>217</v>
      </c>
      <c r="N63" s="4" t="s">
        <v>520</v>
      </c>
      <c r="O63" s="4" t="s">
        <v>521</v>
      </c>
      <c r="P63" s="4" t="s">
        <v>426</v>
      </c>
      <c r="Q63" s="4"/>
      <c r="R63" s="4" t="s">
        <v>417</v>
      </c>
      <c r="S63" s="4" t="s">
        <v>285</v>
      </c>
      <c r="T63" s="4" t="s">
        <v>159</v>
      </c>
      <c r="U63" s="4" t="s">
        <v>402</v>
      </c>
      <c r="V63" s="4" t="s">
        <v>352</v>
      </c>
      <c r="W63" s="4"/>
      <c r="X63" s="4" t="s">
        <v>68</v>
      </c>
      <c r="Y63" s="4" t="s">
        <v>522</v>
      </c>
      <c r="Z63" s="4" t="s">
        <v>382</v>
      </c>
      <c r="AA63" s="4" t="s">
        <v>46</v>
      </c>
    </row>
    <row r="64" customFormat="false" ht="15" hidden="false" customHeight="false" outlineLevel="0" collapsed="false">
      <c r="A64" s="2" t="n">
        <v>63</v>
      </c>
      <c r="B64" s="3" t="s">
        <v>163</v>
      </c>
      <c r="C64" s="2" t="s">
        <v>28</v>
      </c>
      <c r="D64" s="3" t="s">
        <v>164</v>
      </c>
      <c r="E64" s="2" t="s">
        <v>28</v>
      </c>
      <c r="F64" s="3" t="s">
        <v>165</v>
      </c>
      <c r="G64" s="3" t="s">
        <v>28</v>
      </c>
      <c r="H64" s="2" t="s">
        <v>31</v>
      </c>
      <c r="I64" s="3"/>
      <c r="J64" s="3" t="s">
        <v>166</v>
      </c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</row>
    <row r="65" customFormat="false" ht="15" hidden="false" customHeight="false" outlineLevel="0" collapsed="false">
      <c r="A65" s="2" t="n">
        <v>64</v>
      </c>
      <c r="B65" s="3" t="s">
        <v>167</v>
      </c>
      <c r="C65" s="2" t="s">
        <v>28</v>
      </c>
      <c r="D65" s="3" t="s">
        <v>29</v>
      </c>
      <c r="E65" s="2" t="s">
        <v>28</v>
      </c>
      <c r="F65" s="3" t="s">
        <v>168</v>
      </c>
      <c r="G65" s="3" t="s">
        <v>28</v>
      </c>
      <c r="H65" s="2" t="s">
        <v>31</v>
      </c>
      <c r="I65" s="3"/>
      <c r="J65" s="3" t="s">
        <v>169</v>
      </c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</row>
  </sheetData>
  <autoFilter ref="A1:AA6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90"/>
  </cols>
  <sheetData>
    <row r="1" customFormat="false" ht="15" hidden="false" customHeight="false" outlineLevel="0" collapsed="false">
      <c r="A1" s="13" t="s">
        <v>523</v>
      </c>
    </row>
    <row r="3" customFormat="false" ht="15" hidden="false" customHeight="false" outlineLevel="0" collapsed="false">
      <c r="A3" s="14" t="s">
        <v>4</v>
      </c>
      <c r="B3" s="14" t="s">
        <v>524</v>
      </c>
    </row>
    <row r="4" customFormat="false" ht="15" hidden="false" customHeight="false" outlineLevel="0" collapsed="false">
      <c r="A4" s="15" t="s">
        <v>59</v>
      </c>
      <c r="B4" s="15" t="n">
        <f aca="false">COUNTIF('Pin map'!$E$2:$E$65,"Used")</f>
        <v>36</v>
      </c>
    </row>
    <row r="5" customFormat="false" ht="15" hidden="false" customHeight="false" outlineLevel="0" collapsed="false">
      <c r="A5" s="15" t="s">
        <v>184</v>
      </c>
      <c r="B5" s="15" t="n">
        <f aca="false">COUNTIF('Pin map'!$E$2:$E$65,"Reserved")</f>
        <v>1</v>
      </c>
    </row>
    <row r="6" customFormat="false" ht="15" hidden="false" customHeight="false" outlineLevel="0" collapsed="false">
      <c r="A6" s="15" t="s">
        <v>525</v>
      </c>
      <c r="B6" s="15" t="n">
        <f aca="false">COUNTIF('Pin map'!$E$2:$E$65,"Unused")</f>
        <v>15</v>
      </c>
    </row>
    <row r="7" customFormat="false" ht="15" hidden="false" customHeight="false" outlineLevel="0" collapsed="false">
      <c r="A7" s="15" t="s">
        <v>526</v>
      </c>
      <c r="B7" s="15" t="n">
        <f aca="false">COUNTIF('Pin map'!$E$2:$E$65,"Power")</f>
        <v>12</v>
      </c>
    </row>
    <row r="8" customFormat="false" ht="15" hidden="false" customHeight="false" outlineLevel="0" collapsed="false">
      <c r="A8" s="14" t="s">
        <v>527</v>
      </c>
      <c r="B8" s="14" t="n">
        <f aca="false">SUM(B4:B7)</f>
        <v>64</v>
      </c>
    </row>
    <row r="9" customFormat="false" ht="15" hidden="false" customHeight="false" outlineLevel="0" collapsed="false">
      <c r="A9" s="15" t="s">
        <v>528</v>
      </c>
      <c r="B9" s="15" t="n">
        <f aca="false">COUNTA('Pin map'!$A$2:$A$65)</f>
        <v>64</v>
      </c>
    </row>
    <row r="12" customFormat="false" ht="15" hidden="false" customHeight="false" outlineLevel="0" collapsed="false">
      <c r="A12" s="16" t="s">
        <v>529</v>
      </c>
    </row>
    <row r="13" customFormat="false" ht="15" hidden="false" customHeight="false" outlineLevel="0" collapsed="false">
      <c r="A13" s="17" t="s">
        <v>530</v>
      </c>
      <c r="B13" s="17" t="s">
        <v>531</v>
      </c>
    </row>
    <row r="14" customFormat="false" ht="15" hidden="false" customHeight="false" outlineLevel="0" collapsed="false">
      <c r="A14" s="18" t="s">
        <v>532</v>
      </c>
      <c r="B14" s="18" t="s">
        <v>533</v>
      </c>
    </row>
    <row r="15" customFormat="false" ht="15" hidden="false" customHeight="false" outlineLevel="0" collapsed="false">
      <c r="A15" s="18" t="s">
        <v>534</v>
      </c>
      <c r="B15" s="18" t="s">
        <v>535</v>
      </c>
    </row>
    <row r="16" customFormat="false" ht="15" hidden="false" customHeight="false" outlineLevel="0" collapsed="false">
      <c r="A16" s="18" t="s">
        <v>536</v>
      </c>
      <c r="B16" s="18" t="s">
        <v>537</v>
      </c>
    </row>
    <row r="17" customFormat="false" ht="15" hidden="false" customHeight="false" outlineLevel="0" collapsed="false">
      <c r="A17" s="18" t="s">
        <v>538</v>
      </c>
      <c r="B17" s="18" t="s">
        <v>539</v>
      </c>
    </row>
    <row r="18" customFormat="false" ht="15" hidden="false" customHeight="false" outlineLevel="0" collapsed="false">
      <c r="A18" s="18" t="s">
        <v>540</v>
      </c>
      <c r="B18" s="18" t="s">
        <v>541</v>
      </c>
    </row>
    <row r="19" customFormat="false" ht="15" hidden="false" customHeight="false" outlineLevel="0" collapsed="false">
      <c r="A19" s="18" t="s">
        <v>542</v>
      </c>
      <c r="B19" s="18" t="s">
        <v>543</v>
      </c>
    </row>
    <row r="20" customFormat="false" ht="15" hidden="false" customHeight="false" outlineLevel="0" collapsed="false">
      <c r="A20" s="18" t="s">
        <v>544</v>
      </c>
      <c r="B20" s="18" t="s">
        <v>545</v>
      </c>
    </row>
    <row r="21" customFormat="false" ht="15" hidden="false" customHeight="false" outlineLevel="0" collapsed="false">
      <c r="A21" s="18" t="s">
        <v>546</v>
      </c>
      <c r="B21" s="18" t="s">
        <v>547</v>
      </c>
    </row>
    <row r="22" customFormat="false" ht="15" hidden="false" customHeight="false" outlineLevel="0" collapsed="false">
      <c r="A22" s="18" t="s">
        <v>548</v>
      </c>
      <c r="B22" s="18" t="s">
        <v>549</v>
      </c>
    </row>
    <row r="23" customFormat="false" ht="15" hidden="false" customHeight="false" outlineLevel="0" collapsed="false">
      <c r="A23" s="18" t="s">
        <v>550</v>
      </c>
      <c r="B23" s="18" t="s">
        <v>551</v>
      </c>
    </row>
    <row r="24" customFormat="false" ht="15" hidden="false" customHeight="false" outlineLevel="0" collapsed="false">
      <c r="A24" s="18" t="s">
        <v>552</v>
      </c>
      <c r="B24" s="18" t="s">
        <v>553</v>
      </c>
    </row>
    <row r="25" customFormat="false" ht="15" hidden="false" customHeight="false" outlineLevel="0" collapsed="false">
      <c r="A25" s="18" t="s">
        <v>554</v>
      </c>
      <c r="B25" s="18" t="s">
        <v>555</v>
      </c>
    </row>
    <row r="26" customFormat="false" ht="15" hidden="false" customHeight="false" outlineLevel="0" collapsed="false">
      <c r="A26" s="18" t="s">
        <v>556</v>
      </c>
      <c r="B26" s="18" t="s">
        <v>557</v>
      </c>
    </row>
    <row r="27" customFormat="false" ht="15" hidden="false" customHeight="false" outlineLevel="0" collapsed="false">
      <c r="A27" s="18" t="s">
        <v>495</v>
      </c>
      <c r="B27" s="18" t="s">
        <v>558</v>
      </c>
    </row>
    <row r="30" customFormat="false" ht="15" hidden="false" customHeight="false" outlineLevel="0" collapsed="false">
      <c r="A30" s="19" t="s">
        <v>559</v>
      </c>
    </row>
    <row r="31" customFormat="false" ht="15" hidden="false" customHeight="false" outlineLevel="0" collapsed="false">
      <c r="A31" s="19" t="s">
        <v>560</v>
      </c>
    </row>
    <row r="32" customFormat="false" ht="15" hidden="false" customHeight="false" outlineLevel="0" collapsed="false">
      <c r="A32" s="19" t="s">
        <v>561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2026-10-17T18:33:55Z</dcterms:created>
  <dc:creator>openpyxl</dc:creator>
  <dc:description/>
  <dc:language>en-US</dc:language>
  <cp:lastModifiedBy/>
  <dcterms:modified xsi:type="dcterms:W3CDTF">2026-10-17T18:33:55Z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