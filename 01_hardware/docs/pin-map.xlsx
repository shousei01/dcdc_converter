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in map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'Pin map'!$A$1:$AA$65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A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16" customWidth="1" style="20" min="2" max="2"/>
    <col width="8" customWidth="1" style="20" min="3" max="3"/>
    <col width="13" customWidth="1" style="20" min="4" max="4"/>
    <col width="9" customWidth="1" style="20" min="5" max="5"/>
    <col width="24" customWidth="1" style="20" min="6" max="6"/>
    <col width="17" customWidth="1" style="20" min="7" max="7"/>
    <col width="9" customWidth="1" style="20" min="8" max="8"/>
    <col width="26" customWidth="1" style="20" min="9" max="9"/>
    <col width="46" customWidth="1" style="20" min="10" max="10"/>
    <col width="40" customWidth="1" style="20" min="11" max="11"/>
    <col width="14" customWidth="1" style="20" min="12" max="27"/>
  </cols>
  <sheetData>
    <row r="1" ht="30" customHeight="1" s="21">
      <c r="A1" s="22" t="inlineStr">
        <is>
          <t>Pin #</t>
        </is>
      </c>
      <c r="B1" s="22" t="inlineStr">
        <is>
          <t>Pin name</t>
        </is>
      </c>
      <c r="C1" s="22" t="inlineStr">
        <is>
          <t>Pin type</t>
        </is>
      </c>
      <c r="D1" s="22" t="inlineStr">
        <is>
          <t>Net (schematic)</t>
        </is>
      </c>
      <c r="E1" s="22" t="inlineStr">
        <is>
          <t>Status</t>
        </is>
      </c>
      <c r="F1" s="22" t="inlineStr">
        <is>
          <t>Function used</t>
        </is>
      </c>
      <c r="G1" s="22" t="inlineStr">
        <is>
          <t>Mode / AF</t>
        </is>
      </c>
      <c r="H1" s="22" t="inlineStr">
        <is>
          <t>Direction</t>
        </is>
      </c>
      <c r="I1" s="22" t="inlineStr">
        <is>
          <t>Connected to</t>
        </is>
      </c>
      <c r="J1" s="22" t="inlineStr">
        <is>
          <t>Design notes</t>
        </is>
      </c>
      <c r="K1" s="22" t="inlineStr">
        <is>
          <t>Additional functions (analog, wake-up, ...)</t>
        </is>
      </c>
      <c r="L1" s="22" t="inlineStr">
        <is>
          <t>AF0</t>
        </is>
      </c>
      <c r="M1" s="22" t="inlineStr">
        <is>
          <t>AF1</t>
        </is>
      </c>
      <c r="N1" s="22" t="inlineStr">
        <is>
          <t>AF2</t>
        </is>
      </c>
      <c r="O1" s="22" t="inlineStr">
        <is>
          <t>AF3</t>
        </is>
      </c>
      <c r="P1" s="22" t="inlineStr">
        <is>
          <t>AF4</t>
        </is>
      </c>
      <c r="Q1" s="22" t="inlineStr">
        <is>
          <t>AF5</t>
        </is>
      </c>
      <c r="R1" s="22" t="inlineStr">
        <is>
          <t>AF6</t>
        </is>
      </c>
      <c r="S1" s="22" t="inlineStr">
        <is>
          <t>AF7</t>
        </is>
      </c>
      <c r="T1" s="22" t="inlineStr">
        <is>
          <t>AF8</t>
        </is>
      </c>
      <c r="U1" s="22" t="inlineStr">
        <is>
          <t>AF9</t>
        </is>
      </c>
      <c r="V1" s="22" t="inlineStr">
        <is>
          <t>AF10</t>
        </is>
      </c>
      <c r="W1" s="22" t="inlineStr">
        <is>
          <t>AF11</t>
        </is>
      </c>
      <c r="X1" s="22" t="inlineStr">
        <is>
          <t>AF12</t>
        </is>
      </c>
      <c r="Y1" s="22" t="inlineStr">
        <is>
          <t>AF13</t>
        </is>
      </c>
      <c r="Z1" s="22" t="inlineStr">
        <is>
          <t>AF14</t>
        </is>
      </c>
      <c r="AA1" s="22" t="inlineStr">
        <is>
          <t>AF15</t>
        </is>
      </c>
    </row>
    <row r="2" ht="22.35" customHeight="1" s="21">
      <c r="A2" s="23" t="n">
        <v>1</v>
      </c>
      <c r="B2" s="24" t="inlineStr">
        <is>
          <t>VBAT</t>
        </is>
      </c>
      <c r="C2" s="23" t="inlineStr">
        <is>
          <t>Power</t>
        </is>
      </c>
      <c r="D2" s="24" t="inlineStr">
        <is>
          <t>+3V3</t>
        </is>
      </c>
      <c r="E2" s="23" t="inlineStr">
        <is>
          <t>Power</t>
        </is>
      </c>
      <c r="F2" s="24" t="inlineStr">
        <is>
          <t>VBAT (backup domain)</t>
        </is>
      </c>
      <c r="G2" s="24" t="inlineStr">
        <is>
          <t>Power</t>
        </is>
      </c>
      <c r="H2" s="23" t="inlineStr">
        <is>
          <t>Supply</t>
        </is>
      </c>
      <c r="I2" s="24" t="n"/>
      <c r="J2" s="24" t="inlineStr">
        <is>
          <t>Tied to +3V3 (no backup battery; RTC/backup registers lost at power-off)</t>
        </is>
      </c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</row>
    <row r="3" ht="22.35" customHeight="1" s="21">
      <c r="A3" s="26" t="n">
        <v>2</v>
      </c>
      <c r="B3" s="27" t="inlineStr">
        <is>
          <t>PC13</t>
        </is>
      </c>
      <c r="C3" s="26" t="inlineStr">
        <is>
          <t>I/O</t>
        </is>
      </c>
      <c r="D3" s="27" t="inlineStr">
        <is>
          <t>SP_PC13</t>
        </is>
      </c>
      <c r="E3" s="26" t="inlineStr">
        <is>
          <t>Unused</t>
        </is>
      </c>
      <c r="F3" s="27" t="inlineStr">
        <is>
          <t>Not used</t>
        </is>
      </c>
      <c r="G3" s="27" t="inlineStr">
        <is>
          <t>Analog (reset state) or input</t>
        </is>
      </c>
      <c r="H3" s="26" t="inlineStr">
        <is>
          <t>-</t>
        </is>
      </c>
      <c r="I3" s="27" t="inlineStr">
        <is>
          <t>R90.1</t>
        </is>
      </c>
      <c r="J3" s="27" t="inlineStr">
        <is>
          <t>10k pull-down to GND (R90); low-drive backup-domain pin</t>
        </is>
      </c>
      <c r="K3" s="25" t="inlineStr">
        <is>
          <t>RTC_OUT1, RTC_TAMP1, RTC_TS, SYS_WKUP2</t>
        </is>
      </c>
      <c r="L3" s="25" t="n"/>
      <c r="M3" s="25" t="n"/>
      <c r="N3" s="25" t="inlineStr">
        <is>
          <t>TIM1_BKIN</t>
        </is>
      </c>
      <c r="O3" s="25" t="n"/>
      <c r="P3" s="25" t="inlineStr">
        <is>
          <t>TIM1_CH1N</t>
        </is>
      </c>
      <c r="Q3" s="25" t="n"/>
      <c r="R3" s="25" t="inlineStr">
        <is>
          <t>TIM8_CH4N</t>
        </is>
      </c>
      <c r="S3" s="25" t="n"/>
      <c r="T3" s="25" t="n"/>
      <c r="U3" s="25" t="n"/>
      <c r="V3" s="25" t="n"/>
      <c r="W3" s="25" t="n"/>
      <c r="X3" s="25" t="n"/>
      <c r="Y3" s="25" t="n"/>
      <c r="Z3" s="25" t="n"/>
      <c r="AA3" s="25" t="inlineStr">
        <is>
          <t>EVENTOUT</t>
        </is>
      </c>
    </row>
    <row r="4" ht="22.35" customHeight="1" s="21">
      <c r="A4" s="26" t="n">
        <v>3</v>
      </c>
      <c r="B4" s="27" t="inlineStr">
        <is>
          <t>PC14-OSC32_IN</t>
        </is>
      </c>
      <c r="C4" s="26" t="inlineStr">
        <is>
          <t>I/O</t>
        </is>
      </c>
      <c r="D4" s="27" t="inlineStr">
        <is>
          <t>SP_PC14</t>
        </is>
      </c>
      <c r="E4" s="26" t="inlineStr">
        <is>
          <t>Unused</t>
        </is>
      </c>
      <c r="F4" s="27" t="inlineStr">
        <is>
          <t>Not used</t>
        </is>
      </c>
      <c r="G4" s="27" t="inlineStr">
        <is>
          <t>Analog (reset state) or input</t>
        </is>
      </c>
      <c r="H4" s="26" t="inlineStr">
        <is>
          <t>-</t>
        </is>
      </c>
      <c r="I4" s="27" t="inlineStr">
        <is>
          <t>R91.1</t>
        </is>
      </c>
      <c r="J4" s="27" t="inlineStr">
        <is>
          <t>10k pull-down to GND (R91); low-drive backup-domain pin</t>
        </is>
      </c>
      <c r="K4" s="25" t="inlineStr">
        <is>
          <t>RCC_OSC32_IN</t>
        </is>
      </c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inlineStr">
        <is>
          <t>EVENTOUT</t>
        </is>
      </c>
    </row>
    <row r="5" ht="22.35" customHeight="1" s="21">
      <c r="A5" s="26" t="n">
        <v>4</v>
      </c>
      <c r="B5" s="27" t="inlineStr">
        <is>
          <t>PC15-OSC32_OUT</t>
        </is>
      </c>
      <c r="C5" s="26" t="inlineStr">
        <is>
          <t>I/O</t>
        </is>
      </c>
      <c r="D5" s="27" t="inlineStr">
        <is>
          <t>SP_PC15</t>
        </is>
      </c>
      <c r="E5" s="26" t="inlineStr">
        <is>
          <t>Unused</t>
        </is>
      </c>
      <c r="F5" s="27" t="inlineStr">
        <is>
          <t>Not used</t>
        </is>
      </c>
      <c r="G5" s="27" t="inlineStr">
        <is>
          <t>Analog (reset state) or input</t>
        </is>
      </c>
      <c r="H5" s="26" t="inlineStr">
        <is>
          <t>-</t>
        </is>
      </c>
      <c r="I5" s="27" t="inlineStr">
        <is>
          <t>R92.1</t>
        </is>
      </c>
      <c r="J5" s="27" t="inlineStr">
        <is>
          <t>10k pull-down to GND (R92); low-drive backup-domain pin</t>
        </is>
      </c>
      <c r="K5" s="25" t="inlineStr">
        <is>
          <t>ADC1_EXTI15, ADC2_EXTI15, RCC_OSC32_OUT</t>
        </is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inlineStr">
        <is>
          <t>EVENTOUT</t>
        </is>
      </c>
    </row>
    <row r="6" ht="22.35" customHeight="1" s="21">
      <c r="A6" s="28" t="n">
        <v>5</v>
      </c>
      <c r="B6" s="29" t="inlineStr">
        <is>
          <t>PF0-OSC_IN</t>
        </is>
      </c>
      <c r="C6" s="28" t="inlineStr">
        <is>
          <t>I/O</t>
        </is>
      </c>
      <c r="D6" s="29" t="inlineStr">
        <is>
          <t>OSC_IN</t>
        </is>
      </c>
      <c r="E6" s="28" t="inlineStr">
        <is>
          <t>Used</t>
        </is>
      </c>
      <c r="F6" s="30" t="inlineStr">
        <is>
          <t>RCC_OSC_IN (HSE)</t>
        </is>
      </c>
      <c r="G6" s="30" t="inlineStr">
        <is>
          <t>RCC HSE crystal</t>
        </is>
      </c>
      <c r="H6" s="28" t="inlineStr">
        <is>
          <t>In</t>
        </is>
      </c>
      <c r="I6" s="29" t="inlineStr">
        <is>
          <t>C38.1, Y1.1</t>
        </is>
      </c>
      <c r="J6" s="29" t="inlineStr">
        <is>
          <t>Y1 16 MHz 9 pF + 12 pF C0G load caps -&gt; PLL 170 MHz</t>
        </is>
      </c>
      <c r="K6" s="25" t="inlineStr">
        <is>
          <t>ADC1_IN10, RCC_OSC_IN</t>
        </is>
      </c>
      <c r="L6" s="25" t="n"/>
      <c r="M6" s="25" t="n"/>
      <c r="N6" s="25" t="n"/>
      <c r="O6" s="25" t="n"/>
      <c r="P6" s="25" t="inlineStr">
        <is>
          <t>I2C2_SDA</t>
        </is>
      </c>
      <c r="Q6" s="25" t="inlineStr">
        <is>
          <t>I2S2_WS / SPI2_NSS</t>
        </is>
      </c>
      <c r="R6" s="25" t="inlineStr">
        <is>
          <t>TIM1_CH3N</t>
        </is>
      </c>
      <c r="S6" s="25" t="n"/>
      <c r="T6" s="25" t="n"/>
      <c r="U6" s="25" t="n"/>
      <c r="V6" s="25" t="n"/>
      <c r="W6" s="25" t="n"/>
      <c r="X6" s="25" t="n"/>
      <c r="Y6" s="25" t="n"/>
      <c r="Z6" s="25" t="n"/>
      <c r="AA6" s="25" t="inlineStr">
        <is>
          <t>EVENTOUT</t>
        </is>
      </c>
    </row>
    <row r="7" ht="22.35" customHeight="1" s="21">
      <c r="A7" s="28" t="n">
        <v>6</v>
      </c>
      <c r="B7" s="29" t="inlineStr">
        <is>
          <t>PF1-OSC_OUT</t>
        </is>
      </c>
      <c r="C7" s="28" t="inlineStr">
        <is>
          <t>I/O</t>
        </is>
      </c>
      <c r="D7" s="29" t="inlineStr">
        <is>
          <t>OSC_OUT</t>
        </is>
      </c>
      <c r="E7" s="28" t="inlineStr">
        <is>
          <t>Used</t>
        </is>
      </c>
      <c r="F7" s="30" t="inlineStr">
        <is>
          <t>RCC_OSC_OUT (HSE)</t>
        </is>
      </c>
      <c r="G7" s="30" t="inlineStr">
        <is>
          <t>RCC HSE crystal</t>
        </is>
      </c>
      <c r="H7" s="28" t="inlineStr">
        <is>
          <t>Out</t>
        </is>
      </c>
      <c r="I7" s="29" t="inlineStr">
        <is>
          <t>C39.1, Y1.3</t>
        </is>
      </c>
      <c r="J7" s="29" t="inlineStr">
        <is>
          <t>Y1 16 MHz</t>
        </is>
      </c>
      <c r="K7" s="25" t="inlineStr">
        <is>
          <t>ADC2_IN10, COMP3_INM, RCC_OSC_OUT</t>
        </is>
      </c>
      <c r="L7" s="25" t="n"/>
      <c r="M7" s="25" t="n"/>
      <c r="N7" s="25" t="n"/>
      <c r="O7" s="25" t="n"/>
      <c r="P7" s="25" t="n"/>
      <c r="Q7" s="25" t="inlineStr">
        <is>
          <t>I2S2_CK / SPI2_SCK</t>
        </is>
      </c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inlineStr">
        <is>
          <t>EVENTOUT</t>
        </is>
      </c>
    </row>
    <row r="8" ht="22.35" customHeight="1" s="21">
      <c r="A8" s="28" t="n">
        <v>7</v>
      </c>
      <c r="B8" s="29" t="inlineStr">
        <is>
          <t>PG10-NRST</t>
        </is>
      </c>
      <c r="C8" s="28" t="inlineStr">
        <is>
          <t>I/O</t>
        </is>
      </c>
      <c r="D8" s="29" t="inlineStr">
        <is>
          <t>NRST</t>
        </is>
      </c>
      <c r="E8" s="28" t="inlineStr">
        <is>
          <t>Used</t>
        </is>
      </c>
      <c r="F8" s="30" t="inlineStr">
        <is>
          <t>NRST</t>
        </is>
      </c>
      <c r="G8" s="30" t="inlineStr">
        <is>
          <t>Reset</t>
        </is>
      </c>
      <c r="H8" s="28" t="inlineStr">
        <is>
          <t>In/Out</t>
        </is>
      </c>
      <c r="I8" s="29" t="inlineStr">
        <is>
          <t>C40.1, J6.6, J7.10</t>
        </is>
      </c>
      <c r="J8" s="29" t="inlineStr">
        <is>
          <t>100 nF to GND (C40); SWD reset on J6.6 / J7.10</t>
        </is>
      </c>
      <c r="K8" s="25" t="inlineStr">
        <is>
          <t>DAC1_EXTI10, DAC2_EXTI10, DAC3_EXTI10, DAC4_EXTI10</t>
        </is>
      </c>
      <c r="L8" s="25" t="inlineStr">
        <is>
          <t>RCC_MCO</t>
        </is>
      </c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inlineStr">
        <is>
          <t>EVENTOUT</t>
        </is>
      </c>
    </row>
    <row r="9" ht="22.35" customHeight="1" s="21">
      <c r="A9" s="28" t="n">
        <v>8</v>
      </c>
      <c r="B9" s="29" t="inlineStr">
        <is>
          <t>PC0</t>
        </is>
      </c>
      <c r="C9" s="28" t="inlineStr">
        <is>
          <t>I/O</t>
        </is>
      </c>
      <c r="D9" s="29" t="inlineStr">
        <is>
          <t>ADDR0</t>
        </is>
      </c>
      <c r="E9" s="28" t="inlineStr">
        <is>
          <t>Used</t>
        </is>
      </c>
      <c r="F9" s="30" t="inlineStr">
        <is>
          <t>GPIO input</t>
        </is>
      </c>
      <c r="G9" s="30" t="inlineStr">
        <is>
          <t>Input, no pull (10k external pull-up)</t>
        </is>
      </c>
      <c r="H9" s="28" t="inlineStr">
        <is>
          <t>In</t>
        </is>
      </c>
      <c r="I9" s="29" t="inlineStr">
        <is>
          <t>R32.1, R38.2, SW1.1</t>
        </is>
      </c>
      <c r="J9" s="29" t="inlineStr">
        <is>
          <t>Address bit 0: DIP SW1 / header J5 (ON or jumper = 0)</t>
        </is>
      </c>
      <c r="K9" s="25" t="inlineStr">
        <is>
          <t>ADC1_IN6, ADC2_IN6, COMP3_INM</t>
        </is>
      </c>
      <c r="L9" s="25" t="n"/>
      <c r="M9" s="25" t="inlineStr">
        <is>
          <t>LPTIM1_IN1</t>
        </is>
      </c>
      <c r="N9" s="25" t="inlineStr">
        <is>
          <t>TIM1_CH1</t>
        </is>
      </c>
      <c r="O9" s="25" t="n"/>
      <c r="P9" s="25" t="n"/>
      <c r="Q9" s="25" t="n"/>
      <c r="R9" s="25" t="n"/>
      <c r="S9" s="25" t="n"/>
      <c r="T9" s="25" t="inlineStr">
        <is>
          <t>LPUART1_RX</t>
        </is>
      </c>
      <c r="U9" s="25" t="n"/>
      <c r="V9" s="25" t="n"/>
      <c r="W9" s="25" t="n"/>
      <c r="X9" s="25" t="n"/>
      <c r="Y9" s="25" t="n"/>
      <c r="Z9" s="25" t="n"/>
      <c r="AA9" s="25" t="inlineStr">
        <is>
          <t>EVENTOUT</t>
        </is>
      </c>
    </row>
    <row r="10" ht="22.35" customHeight="1" s="21">
      <c r="A10" s="28" t="n">
        <v>9</v>
      </c>
      <c r="B10" s="29" t="inlineStr">
        <is>
          <t>PC1</t>
        </is>
      </c>
      <c r="C10" s="28" t="inlineStr">
        <is>
          <t>I/O</t>
        </is>
      </c>
      <c r="D10" s="29" t="inlineStr">
        <is>
          <t>ADDR1</t>
        </is>
      </c>
      <c r="E10" s="28" t="inlineStr">
        <is>
          <t>Used</t>
        </is>
      </c>
      <c r="F10" s="30" t="inlineStr">
        <is>
          <t>GPIO input</t>
        </is>
      </c>
      <c r="G10" s="30" t="inlineStr">
        <is>
          <t>Input, no pull (10k external pull-up)</t>
        </is>
      </c>
      <c r="H10" s="28" t="inlineStr">
        <is>
          <t>In</t>
        </is>
      </c>
      <c r="I10" s="29" t="inlineStr">
        <is>
          <t>R33.1, R39.2, SW1.2</t>
        </is>
      </c>
      <c r="J10" s="29" t="inlineStr">
        <is>
          <t>Address bit 1: DIP SW1 / header J5 (ON or jumper = 0)</t>
        </is>
      </c>
      <c r="K10" s="25" t="inlineStr">
        <is>
          <t>ADC1_IN7, ADC2_IN7, COMP3_INP</t>
        </is>
      </c>
      <c r="L10" s="25" t="n"/>
      <c r="M10" s="25" t="inlineStr">
        <is>
          <t>LPTIM1_OUT</t>
        </is>
      </c>
      <c r="N10" s="25" t="inlineStr">
        <is>
          <t>TIM1_CH2</t>
        </is>
      </c>
      <c r="O10" s="25" t="n"/>
      <c r="P10" s="25" t="n"/>
      <c r="Q10" s="25" t="n"/>
      <c r="R10" s="25" t="n"/>
      <c r="S10" s="25" t="n"/>
      <c r="T10" s="25" t="inlineStr">
        <is>
          <t>LPUART1_TX</t>
        </is>
      </c>
      <c r="U10" s="25" t="n"/>
      <c r="V10" s="25" t="inlineStr">
        <is>
          <t>QUADSPI1_BK2_IO0</t>
        </is>
      </c>
      <c r="W10" s="25" t="n"/>
      <c r="X10" s="25" t="n"/>
      <c r="Y10" s="25" t="inlineStr">
        <is>
          <t>SAI1_SD_A</t>
        </is>
      </c>
      <c r="Z10" s="25" t="n"/>
      <c r="AA10" s="25" t="inlineStr">
        <is>
          <t>EVENTOUT</t>
        </is>
      </c>
    </row>
    <row r="11" ht="22.35" customHeight="1" s="21">
      <c r="A11" s="28" t="n">
        <v>10</v>
      </c>
      <c r="B11" s="29" t="inlineStr">
        <is>
          <t>PC2</t>
        </is>
      </c>
      <c r="C11" s="28" t="inlineStr">
        <is>
          <t>I/O</t>
        </is>
      </c>
      <c r="D11" s="29" t="inlineStr">
        <is>
          <t>ADDR2</t>
        </is>
      </c>
      <c r="E11" s="28" t="inlineStr">
        <is>
          <t>Used</t>
        </is>
      </c>
      <c r="F11" s="30" t="inlineStr">
        <is>
          <t>GPIO input</t>
        </is>
      </c>
      <c r="G11" s="30" t="inlineStr">
        <is>
          <t>Input, no pull (10k external pull-up)</t>
        </is>
      </c>
      <c r="H11" s="28" t="inlineStr">
        <is>
          <t>In</t>
        </is>
      </c>
      <c r="I11" s="29" t="inlineStr">
        <is>
          <t>R34.1, R40.2, SW1.3</t>
        </is>
      </c>
      <c r="J11" s="29" t="inlineStr">
        <is>
          <t>Address bit 2: DIP SW1 / header J5 (ON or jumper = 0)</t>
        </is>
      </c>
      <c r="K11" s="25" t="inlineStr">
        <is>
          <t>ADC1_IN8, ADC2_IN8, ADC3_EXTI2, ADC4_EXTI2, ADC5_EXTI2</t>
        </is>
      </c>
      <c r="L11" s="25" t="n"/>
      <c r="M11" s="25" t="inlineStr">
        <is>
          <t>LPTIM1_IN2</t>
        </is>
      </c>
      <c r="N11" s="25" t="inlineStr">
        <is>
          <t>TIM1_CH3</t>
        </is>
      </c>
      <c r="O11" s="25" t="inlineStr">
        <is>
          <t>COMP3_OUT</t>
        </is>
      </c>
      <c r="P11" s="25" t="n"/>
      <c r="Q11" s="25" t="n"/>
      <c r="R11" s="25" t="inlineStr">
        <is>
          <t>TIM20_CH2</t>
        </is>
      </c>
      <c r="S11" s="25" t="n"/>
      <c r="T11" s="25" t="n"/>
      <c r="U11" s="25" t="n"/>
      <c r="V11" s="25" t="inlineStr">
        <is>
          <t>QUADSPI1_BK2_IO1</t>
        </is>
      </c>
      <c r="W11" s="25" t="n"/>
      <c r="X11" s="25" t="n"/>
      <c r="Y11" s="25" t="n"/>
      <c r="Z11" s="25" t="n"/>
      <c r="AA11" s="25" t="inlineStr">
        <is>
          <t>EVENTOUT</t>
        </is>
      </c>
    </row>
    <row r="12" ht="32.8" customHeight="1" s="21">
      <c r="A12" s="28" t="n">
        <v>11</v>
      </c>
      <c r="B12" s="29" t="inlineStr">
        <is>
          <t>PC3</t>
        </is>
      </c>
      <c r="C12" s="28" t="inlineStr">
        <is>
          <t>I/O</t>
        </is>
      </c>
      <c r="D12" s="29" t="inlineStr">
        <is>
          <t>ADDR3</t>
        </is>
      </c>
      <c r="E12" s="28" t="inlineStr">
        <is>
          <t>Used</t>
        </is>
      </c>
      <c r="F12" s="30" t="inlineStr">
        <is>
          <t>GPIO input</t>
        </is>
      </c>
      <c r="G12" s="30" t="inlineStr">
        <is>
          <t>Input, no pull (10k external pull-up)</t>
        </is>
      </c>
      <c r="H12" s="28" t="inlineStr">
        <is>
          <t>In</t>
        </is>
      </c>
      <c r="I12" s="29" t="inlineStr">
        <is>
          <t>R35.1, R41.2, SW1.4</t>
        </is>
      </c>
      <c r="J12" s="29" t="inlineStr">
        <is>
          <t>Address bit 3: DIP SW1 / header J5 (ON or jumper = 0)</t>
        </is>
      </c>
      <c r="K12" s="25" t="inlineStr">
        <is>
          <t>ADC1_IN9, ADC2_IN9, ADC3_EXTI3, ADC4_EXTI3, ADC5_EXTI3, OPAMP5_VINP, OPAMP5_VINP_SEC</t>
        </is>
      </c>
      <c r="L12" s="25" t="inlineStr">
        <is>
          <t>SYS_SLEEP</t>
        </is>
      </c>
      <c r="M12" s="25" t="inlineStr">
        <is>
          <t>LPTIM1_ETR</t>
        </is>
      </c>
      <c r="N12" s="25" t="inlineStr">
        <is>
          <t>TIM1_CH4</t>
        </is>
      </c>
      <c r="O12" s="25" t="inlineStr">
        <is>
          <t>SAI1_D1</t>
        </is>
      </c>
      <c r="P12" s="25" t="n"/>
      <c r="Q12" s="25" t="n"/>
      <c r="R12" s="25" t="inlineStr">
        <is>
          <t>TIM1_BKIN2</t>
        </is>
      </c>
      <c r="S12" s="25" t="n"/>
      <c r="T12" s="25" t="n"/>
      <c r="U12" s="25" t="n"/>
      <c r="V12" s="25" t="inlineStr">
        <is>
          <t>QUADSPI1_BK2_IO2</t>
        </is>
      </c>
      <c r="W12" s="25" t="n"/>
      <c r="X12" s="25" t="n"/>
      <c r="Y12" s="25" t="inlineStr">
        <is>
          <t>SAI1_SD_A</t>
        </is>
      </c>
      <c r="Z12" s="25" t="n"/>
      <c r="AA12" s="25" t="inlineStr">
        <is>
          <t>EVENTOUT</t>
        </is>
      </c>
    </row>
    <row r="13" ht="22.35" customHeight="1" s="21">
      <c r="A13" s="28" t="n">
        <v>12</v>
      </c>
      <c r="B13" s="29" t="inlineStr">
        <is>
          <t>PA0</t>
        </is>
      </c>
      <c r="C13" s="28" t="inlineStr">
        <is>
          <t>I/O</t>
        </is>
      </c>
      <c r="D13" s="29" t="inlineStr">
        <is>
          <t>VBUS_SNS</t>
        </is>
      </c>
      <c r="E13" s="28" t="inlineStr">
        <is>
          <t>Used</t>
        </is>
      </c>
      <c r="F13" s="30" t="inlineStr">
        <is>
          <t>ADC1_IN1</t>
        </is>
      </c>
      <c r="G13" s="30" t="inlineStr">
        <is>
          <t>Analog</t>
        </is>
      </c>
      <c r="H13" s="28" t="inlineStr">
        <is>
          <t>In</t>
        </is>
      </c>
      <c r="I13" s="29" t="inlineStr">
        <is>
          <t>C41.1, R21.2, R22.1</t>
        </is>
      </c>
      <c r="J13" s="29" t="inlineStr">
        <is>
          <t>VBUS divider 100k/5.1k, 1 nF -&gt; 68 V full scale</t>
        </is>
      </c>
      <c r="K13" s="25" t="inlineStr">
        <is>
          <t>ADC1_IN1, ADC2_IN1, COMP1_INM, COMP3_INP, RTC_TAMP2, SYS_WKUP1</t>
        </is>
      </c>
      <c r="L13" s="25" t="n"/>
      <c r="M13" s="25" t="inlineStr">
        <is>
          <t>TIM2_CH1</t>
        </is>
      </c>
      <c r="N13" s="25" t="inlineStr">
        <is>
          <t>TIM5_CH1</t>
        </is>
      </c>
      <c r="O13" s="25" t="n"/>
      <c r="P13" s="25" t="n"/>
      <c r="Q13" s="25" t="n"/>
      <c r="R13" s="25" t="n"/>
      <c r="S13" s="25" t="inlineStr">
        <is>
          <t>USART2_CTS / USART2_NSS</t>
        </is>
      </c>
      <c r="T13" s="25" t="inlineStr">
        <is>
          <t>COMP1_OUT</t>
        </is>
      </c>
      <c r="U13" s="25" t="inlineStr">
        <is>
          <t>TIM8_BKIN</t>
        </is>
      </c>
      <c r="V13" s="25" t="inlineStr">
        <is>
          <t>TIM8_ETR</t>
        </is>
      </c>
      <c r="W13" s="25" t="n"/>
      <c r="X13" s="25" t="n"/>
      <c r="Y13" s="25" t="n"/>
      <c r="Z13" s="25" t="inlineStr">
        <is>
          <t>TIM2_ETR</t>
        </is>
      </c>
      <c r="AA13" s="25" t="inlineStr">
        <is>
          <t>EVENTOUT</t>
        </is>
      </c>
    </row>
    <row r="14" ht="53.7" customHeight="1" s="21">
      <c r="A14" s="28" t="n">
        <v>13</v>
      </c>
      <c r="B14" s="29" t="inlineStr">
        <is>
          <t>PA1</t>
        </is>
      </c>
      <c r="C14" s="28" t="inlineStr">
        <is>
          <t>I/O</t>
        </is>
      </c>
      <c r="D14" s="29" t="inlineStr">
        <is>
          <t>IOUT_SNS</t>
        </is>
      </c>
      <c r="E14" s="28" t="inlineStr">
        <is>
          <t>Used</t>
        </is>
      </c>
      <c r="F14" s="30" t="inlineStr">
        <is>
          <t>ADC1_IN2</t>
        </is>
      </c>
      <c r="G14" s="30" t="inlineStr">
        <is>
          <t>Analog</t>
        </is>
      </c>
      <c r="H14" s="28" t="inlineStr">
        <is>
          <t>In</t>
        </is>
      </c>
      <c r="I14" s="29" t="inlineStr">
        <is>
          <t>C47.1, R28.2, TP14.1</t>
        </is>
      </c>
      <c r="J14" s="29" t="inlineStr">
        <is>
          <t>INA181A2 on 10 mOhm (RSH1): 0.5 V/A, 1k + 10 nF filter</t>
        </is>
      </c>
      <c r="K14" s="25" t="inlineStr">
        <is>
          <t>ADC1_IN2, ADC2_IN2, COMP1_INP, OPAMP1_VINP, OPAMP1_VINP_SEC, OPAMP3_VINP, OPAMP3_VINP_SEC, OPAMP6_VINM, OPAMP6_VINM0, OPAMP6_VINM_SEC</t>
        </is>
      </c>
      <c r="L14" s="25" t="inlineStr">
        <is>
          <t>RTC_REFIN</t>
        </is>
      </c>
      <c r="M14" s="25" t="inlineStr">
        <is>
          <t>TIM2_CH2</t>
        </is>
      </c>
      <c r="N14" s="25" t="inlineStr">
        <is>
          <t>TIM5_CH2</t>
        </is>
      </c>
      <c r="O14" s="25" t="n"/>
      <c r="P14" s="25" t="n"/>
      <c r="Q14" s="25" t="n"/>
      <c r="R14" s="25" t="n"/>
      <c r="S14" s="25" t="inlineStr">
        <is>
          <t>USART2_DE / USART2_RTS</t>
        </is>
      </c>
      <c r="T14" s="25" t="n"/>
      <c r="U14" s="25" t="inlineStr">
        <is>
          <t>TIM15_CH1N</t>
        </is>
      </c>
      <c r="V14" s="25" t="n"/>
      <c r="W14" s="25" t="n"/>
      <c r="X14" s="25" t="n"/>
      <c r="Y14" s="25" t="n"/>
      <c r="Z14" s="25" t="n"/>
      <c r="AA14" s="25" t="inlineStr">
        <is>
          <t>EVENTOUT</t>
        </is>
      </c>
    </row>
    <row r="15" ht="32.8" customHeight="1" s="21">
      <c r="A15" s="26" t="n">
        <v>14</v>
      </c>
      <c r="B15" s="27" t="inlineStr">
        <is>
          <t>PA2</t>
        </is>
      </c>
      <c r="C15" s="26" t="inlineStr">
        <is>
          <t>I/O</t>
        </is>
      </c>
      <c r="D15" s="27" t="inlineStr">
        <is>
          <t>SP_PA2</t>
        </is>
      </c>
      <c r="E15" s="26" t="inlineStr">
        <is>
          <t>Unused</t>
        </is>
      </c>
      <c r="F15" s="27" t="inlineStr">
        <is>
          <t>Not used</t>
        </is>
      </c>
      <c r="G15" s="27" t="inlineStr">
        <is>
          <t>Analog (reset state) or input</t>
        </is>
      </c>
      <c r="H15" s="26" t="inlineStr">
        <is>
          <t>-</t>
        </is>
      </c>
      <c r="I15" s="27" t="inlineStr">
        <is>
          <t>R93.1</t>
        </is>
      </c>
      <c r="J15" s="27" t="inlineStr">
        <is>
          <t>10k pull-down to GND (R93)</t>
        </is>
      </c>
      <c r="K15" s="25" t="inlineStr">
        <is>
          <t>ADC1_IN3, ADC3_EXTI2, ADC4_EXTI2, ADC5_EXTI2, COMP2_INM, OPAMP1_VOUT, RCC_LSCO, SYS_WKUP4</t>
        </is>
      </c>
      <c r="L15" s="25" t="n"/>
      <c r="M15" s="25" t="inlineStr">
        <is>
          <t>TIM2_CH3</t>
        </is>
      </c>
      <c r="N15" s="25" t="inlineStr">
        <is>
          <t>TIM5_CH3</t>
        </is>
      </c>
      <c r="O15" s="25" t="n"/>
      <c r="P15" s="25" t="n"/>
      <c r="Q15" s="25" t="n"/>
      <c r="R15" s="25" t="n"/>
      <c r="S15" s="25" t="inlineStr">
        <is>
          <t>USART2_TX</t>
        </is>
      </c>
      <c r="T15" s="25" t="inlineStr">
        <is>
          <t>COMP2_OUT</t>
        </is>
      </c>
      <c r="U15" s="25" t="inlineStr">
        <is>
          <t>TIM15_CH1</t>
        </is>
      </c>
      <c r="V15" s="25" t="inlineStr">
        <is>
          <t>QUADSPI1_BK1_NCS</t>
        </is>
      </c>
      <c r="W15" s="25" t="n"/>
      <c r="X15" s="25" t="inlineStr">
        <is>
          <t>LPUART1_TX</t>
        </is>
      </c>
      <c r="Y15" s="25" t="n"/>
      <c r="Z15" s="25" t="inlineStr">
        <is>
          <t>UCPD1_FRSTX1 / UCPD1_FRSTX2</t>
        </is>
      </c>
      <c r="AA15" s="25" t="inlineStr">
        <is>
          <t>EVENTOUT</t>
        </is>
      </c>
    </row>
    <row r="16" ht="15" customHeight="1" s="21">
      <c r="A16" s="23" t="n">
        <v>15</v>
      </c>
      <c r="B16" s="24" t="inlineStr">
        <is>
          <t>VSS</t>
        </is>
      </c>
      <c r="C16" s="23" t="inlineStr">
        <is>
          <t>Power</t>
        </is>
      </c>
      <c r="D16" s="24" t="inlineStr">
        <is>
          <t>GND</t>
        </is>
      </c>
      <c r="E16" s="23" t="inlineStr">
        <is>
          <t>Power</t>
        </is>
      </c>
      <c r="F16" s="24" t="inlineStr">
        <is>
          <t>Ground</t>
        </is>
      </c>
      <c r="G16" s="24" t="inlineStr">
        <is>
          <t>Power</t>
        </is>
      </c>
      <c r="H16" s="23" t="inlineStr">
        <is>
          <t>Supply</t>
        </is>
      </c>
      <c r="I16" s="24" t="n"/>
      <c r="J16" s="24" t="inlineStr">
        <is>
          <t>Secondary GND plane (In1)</t>
        </is>
      </c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</row>
    <row r="17" ht="15" customHeight="1" s="21">
      <c r="A17" s="23" t="n">
        <v>16</v>
      </c>
      <c r="B17" s="24" t="inlineStr">
        <is>
          <t>VDD</t>
        </is>
      </c>
      <c r="C17" s="23" t="inlineStr">
        <is>
          <t>Power</t>
        </is>
      </c>
      <c r="D17" s="24" t="inlineStr">
        <is>
          <t>+3V3</t>
        </is>
      </c>
      <c r="E17" s="23" t="inlineStr">
        <is>
          <t>Power</t>
        </is>
      </c>
      <c r="F17" s="24" t="inlineStr">
        <is>
          <t>VDD supply</t>
        </is>
      </c>
      <c r="G17" s="24" t="inlineStr">
        <is>
          <t>Power</t>
        </is>
      </c>
      <c r="H17" s="23" t="inlineStr">
        <is>
          <t>Supply</t>
        </is>
      </c>
      <c r="I17" s="24" t="n"/>
      <c r="J17" s="24" t="inlineStr">
        <is>
          <t>100 nF per VDD pin (C30-C34) + 4.7 uF bulk (C35)</t>
        </is>
      </c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64.15000000000001" customHeight="1" s="21">
      <c r="A18" s="26" t="n">
        <v>17</v>
      </c>
      <c r="B18" s="27" t="inlineStr">
        <is>
          <t>PA3</t>
        </is>
      </c>
      <c r="C18" s="26" t="inlineStr">
        <is>
          <t>I/O</t>
        </is>
      </c>
      <c r="D18" s="27" t="inlineStr">
        <is>
          <t>SP_PA3</t>
        </is>
      </c>
      <c r="E18" s="26" t="inlineStr">
        <is>
          <t>Unused</t>
        </is>
      </c>
      <c r="F18" s="27" t="inlineStr">
        <is>
          <t>Not used</t>
        </is>
      </c>
      <c r="G18" s="27" t="inlineStr">
        <is>
          <t>Analog (reset state) or input</t>
        </is>
      </c>
      <c r="H18" s="26" t="inlineStr">
        <is>
          <t>-</t>
        </is>
      </c>
      <c r="I18" s="27" t="inlineStr">
        <is>
          <t>R94.1</t>
        </is>
      </c>
      <c r="J18" s="27" t="inlineStr">
        <is>
          <t>10k pull-down to GND (R94)</t>
        </is>
      </c>
      <c r="K18" s="25" t="inlineStr">
        <is>
          <t>ADC1_IN4, ADC3_EXTI3, ADC4_EXTI3, ADC5_EXTI3, COMP2_INP, OPAMP1_VINM, OPAMP1_VINM0, OPAMP1_VINM_SEC, OPAMP1_VINP, OPAMP1_VINP_SEC, OPAMP5_VINM, OPAMP5_VINM1, OPAMP5_VINM_SEC</t>
        </is>
      </c>
      <c r="L18" s="25" t="n"/>
      <c r="M18" s="25" t="inlineStr">
        <is>
          <t>TIM2_CH4</t>
        </is>
      </c>
      <c r="N18" s="25" t="inlineStr">
        <is>
          <t>TIM5_CH4</t>
        </is>
      </c>
      <c r="O18" s="25" t="inlineStr">
        <is>
          <t>SAI1_CK1</t>
        </is>
      </c>
      <c r="P18" s="25" t="n"/>
      <c r="Q18" s="25" t="n"/>
      <c r="R18" s="25" t="n"/>
      <c r="S18" s="25" t="inlineStr">
        <is>
          <t>USART2_RX</t>
        </is>
      </c>
      <c r="T18" s="25" t="n"/>
      <c r="U18" s="25" t="inlineStr">
        <is>
          <t>TIM15_CH2</t>
        </is>
      </c>
      <c r="V18" s="25" t="inlineStr">
        <is>
          <t>QUADSPI1_CLK</t>
        </is>
      </c>
      <c r="W18" s="25" t="n"/>
      <c r="X18" s="25" t="inlineStr">
        <is>
          <t>LPUART1_RX</t>
        </is>
      </c>
      <c r="Y18" s="25" t="inlineStr">
        <is>
          <t>SAI1_MCLK_A</t>
        </is>
      </c>
      <c r="Z18" s="25" t="n"/>
      <c r="AA18" s="25" t="inlineStr">
        <is>
          <t>EVENTOUT</t>
        </is>
      </c>
    </row>
    <row r="19" ht="22.35" customHeight="1" s="21">
      <c r="A19" s="31" t="n">
        <v>18</v>
      </c>
      <c r="B19" s="32" t="inlineStr">
        <is>
          <t>PA4</t>
        </is>
      </c>
      <c r="C19" s="31" t="inlineStr">
        <is>
          <t>I/O</t>
        </is>
      </c>
      <c r="D19" s="32" t="inlineStr">
        <is>
          <t>SP_PA4</t>
        </is>
      </c>
      <c r="E19" s="31" t="inlineStr">
        <is>
          <t>Reserved</t>
        </is>
      </c>
      <c r="F19" s="33" t="inlineStr">
        <is>
          <t>Reserved: DAC1_OUT1</t>
        </is>
      </c>
      <c r="G19" s="33" t="inlineStr">
        <is>
          <t>Analog (reset state) or input</t>
        </is>
      </c>
      <c r="H19" s="31" t="inlineStr">
        <is>
          <t>-</t>
        </is>
      </c>
      <c r="I19" s="32" t="inlineStr">
        <is>
          <t>R95.1</t>
        </is>
      </c>
      <c r="J19" s="32" t="inlineStr">
        <is>
          <t>Kept free for DAC1_OUT1 (Rev D request); 10k pull-down R95 is a valid DAC load (min 5k)</t>
        </is>
      </c>
      <c r="K19" s="25" t="inlineStr">
        <is>
          <t>ADC2_IN17, COMP1_INM, DAC1_OUT1</t>
        </is>
      </c>
      <c r="L19" s="25" t="n"/>
      <c r="M19" s="25" t="n"/>
      <c r="N19" s="25" t="inlineStr">
        <is>
          <t>TIM3_CH2</t>
        </is>
      </c>
      <c r="O19" s="25" t="n"/>
      <c r="P19" s="25" t="n"/>
      <c r="Q19" s="25" t="inlineStr">
        <is>
          <t>SPI1_NSS</t>
        </is>
      </c>
      <c r="R19" s="25" t="inlineStr">
        <is>
          <t>I2S3_WS / SPI3_NSS</t>
        </is>
      </c>
      <c r="S19" s="25" t="inlineStr">
        <is>
          <t>USART2_CK</t>
        </is>
      </c>
      <c r="T19" s="25" t="n"/>
      <c r="U19" s="25" t="n"/>
      <c r="V19" s="25" t="n"/>
      <c r="W19" s="25" t="n"/>
      <c r="X19" s="25" t="n"/>
      <c r="Y19" s="25" t="inlineStr">
        <is>
          <t>SAI1_FS_B</t>
        </is>
      </c>
      <c r="Z19" s="25" t="n"/>
      <c r="AA19" s="25" t="inlineStr">
        <is>
          <t>EVENTOUT</t>
        </is>
      </c>
    </row>
    <row r="20" ht="32.8" customHeight="1" s="21">
      <c r="A20" s="28" t="n">
        <v>19</v>
      </c>
      <c r="B20" s="29" t="inlineStr">
        <is>
          <t>PA5</t>
        </is>
      </c>
      <c r="C20" s="28" t="inlineStr">
        <is>
          <t>I/O</t>
        </is>
      </c>
      <c r="D20" s="29" t="inlineStr">
        <is>
          <t>TP_DAC</t>
        </is>
      </c>
      <c r="E20" s="28" t="inlineStr">
        <is>
          <t>Used</t>
        </is>
      </c>
      <c r="F20" s="30" t="inlineStr">
        <is>
          <t>DAC1_OUT2</t>
        </is>
      </c>
      <c r="G20" s="30" t="inlineStr">
        <is>
          <t>Analog</t>
        </is>
      </c>
      <c r="H20" s="28" t="inlineStr">
        <is>
          <t>Out</t>
        </is>
      </c>
      <c r="I20" s="29" t="inlineStr">
        <is>
          <t>J6.3</t>
        </is>
      </c>
      <c r="J20" s="29" t="inlineStr">
        <is>
          <t>Test_pin_DAC on PROG PADS J6.3 (debug waveform out)</t>
        </is>
      </c>
      <c r="K20" s="25" t="inlineStr">
        <is>
          <t>ADC2_IN13, COMP2_INM, DAC1_OUT2, OPAMP2_VINM, OPAMP2_VINM0, OPAMP2_VINM_SEC</t>
        </is>
      </c>
      <c r="L20" s="25" t="n"/>
      <c r="M20" s="25" t="inlineStr">
        <is>
          <t>TIM2_CH1</t>
        </is>
      </c>
      <c r="N20" s="25" t="inlineStr">
        <is>
          <t>TIM2_ETR</t>
        </is>
      </c>
      <c r="O20" s="25" t="n"/>
      <c r="P20" s="25" t="n"/>
      <c r="Q20" s="25" t="inlineStr">
        <is>
          <t>SPI1_SCK</t>
        </is>
      </c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inlineStr">
        <is>
          <t>UCPD1_FRSTX1 / UCPD1_FRSTX2</t>
        </is>
      </c>
      <c r="AA20" s="25" t="inlineStr">
        <is>
          <t>EVENTOUT</t>
        </is>
      </c>
    </row>
    <row r="21" ht="22.35" customHeight="1" s="21">
      <c r="A21" s="28" t="n">
        <v>20</v>
      </c>
      <c r="B21" s="29" t="inlineStr">
        <is>
          <t>PA6</t>
        </is>
      </c>
      <c r="C21" s="28" t="inlineStr">
        <is>
          <t>I/O</t>
        </is>
      </c>
      <c r="D21" s="29" t="inlineStr">
        <is>
          <t>NTC_SNS</t>
        </is>
      </c>
      <c r="E21" s="28" t="inlineStr">
        <is>
          <t>Used</t>
        </is>
      </c>
      <c r="F21" s="30" t="inlineStr">
        <is>
          <t>ADC2_IN3</t>
        </is>
      </c>
      <c r="G21" s="30" t="inlineStr">
        <is>
          <t>Analog</t>
        </is>
      </c>
      <c r="H21" s="28" t="inlineStr">
        <is>
          <t>In</t>
        </is>
      </c>
      <c r="I21" s="29" t="inlineStr">
        <is>
          <t>C48.1, R29.2, TH1.1</t>
        </is>
      </c>
      <c r="J21" s="29" t="inlineStr">
        <is>
          <t>NTC 10k B3950 / 10k divider (Rev D: moved from PA4 to PA6)</t>
        </is>
      </c>
      <c r="K21" s="25" t="inlineStr">
        <is>
          <t>ADC2_IN3, DAC2_OUT1, OPAMP2_VOUT</t>
        </is>
      </c>
      <c r="L21" s="25" t="n"/>
      <c r="M21" s="25" t="inlineStr">
        <is>
          <t>TIM16_CH1</t>
        </is>
      </c>
      <c r="N21" s="25" t="inlineStr">
        <is>
          <t>TIM3_CH1</t>
        </is>
      </c>
      <c r="O21" s="25" t="n"/>
      <c r="P21" s="25" t="inlineStr">
        <is>
          <t>TIM8_BKIN</t>
        </is>
      </c>
      <c r="Q21" s="25" t="inlineStr">
        <is>
          <t>SPI1_MISO</t>
        </is>
      </c>
      <c r="R21" s="25" t="inlineStr">
        <is>
          <t>TIM1_BKIN</t>
        </is>
      </c>
      <c r="S21" s="25" t="n"/>
      <c r="T21" s="25" t="inlineStr">
        <is>
          <t>COMP1_OUT</t>
        </is>
      </c>
      <c r="U21" s="25" t="n"/>
      <c r="V21" s="25" t="inlineStr">
        <is>
          <t>QUADSPI1_BK1_IO3</t>
        </is>
      </c>
      <c r="W21" s="25" t="n"/>
      <c r="X21" s="25" t="inlineStr">
        <is>
          <t>LPUART1_CTS</t>
        </is>
      </c>
      <c r="Y21" s="25" t="n"/>
      <c r="Z21" s="25" t="n"/>
      <c r="AA21" s="25" t="inlineStr">
        <is>
          <t>EVENTOUT</t>
        </is>
      </c>
    </row>
    <row r="22" ht="32.8" customHeight="1" s="21">
      <c r="A22" s="26" t="n">
        <v>21</v>
      </c>
      <c r="B22" s="27" t="inlineStr">
        <is>
          <t>PA7</t>
        </is>
      </c>
      <c r="C22" s="26" t="inlineStr">
        <is>
          <t>I/O</t>
        </is>
      </c>
      <c r="D22" s="27" t="inlineStr">
        <is>
          <t>SP_PA7</t>
        </is>
      </c>
      <c r="E22" s="26" t="inlineStr">
        <is>
          <t>Unused</t>
        </is>
      </c>
      <c r="F22" s="27" t="inlineStr">
        <is>
          <t>Not used</t>
        </is>
      </c>
      <c r="G22" s="27" t="inlineStr">
        <is>
          <t>Analog (reset state) or input</t>
        </is>
      </c>
      <c r="H22" s="26" t="inlineStr">
        <is>
          <t>-</t>
        </is>
      </c>
      <c r="I22" s="27" t="inlineStr">
        <is>
          <t>R96.1</t>
        </is>
      </c>
      <c r="J22" s="27" t="inlineStr">
        <is>
          <t>10k pull-down to GND (R96)</t>
        </is>
      </c>
      <c r="K22" s="25" t="inlineStr">
        <is>
          <t>ADC2_IN4, COMP2_INP, OPAMP1_VINP, OPAMP1_VINP_SEC, OPAMP2_VINP, OPAMP2_VINP_SEC</t>
        </is>
      </c>
      <c r="L22" s="25" t="n"/>
      <c r="M22" s="25" t="inlineStr">
        <is>
          <t>TIM17_CH1</t>
        </is>
      </c>
      <c r="N22" s="25" t="inlineStr">
        <is>
          <t>TIM3_CH2</t>
        </is>
      </c>
      <c r="O22" s="25" t="n"/>
      <c r="P22" s="25" t="inlineStr">
        <is>
          <t>TIM8_CH1N</t>
        </is>
      </c>
      <c r="Q22" s="25" t="inlineStr">
        <is>
          <t>SPI1_MOSI</t>
        </is>
      </c>
      <c r="R22" s="25" t="inlineStr">
        <is>
          <t>TIM1_CH1N</t>
        </is>
      </c>
      <c r="S22" s="25" t="n"/>
      <c r="T22" s="25" t="inlineStr">
        <is>
          <t>COMP2_OUT</t>
        </is>
      </c>
      <c r="U22" s="25" t="n"/>
      <c r="V22" s="25" t="inlineStr">
        <is>
          <t>QUADSPI1_BK1_IO2</t>
        </is>
      </c>
      <c r="W22" s="25" t="n"/>
      <c r="X22" s="25" t="n"/>
      <c r="Y22" s="25" t="n"/>
      <c r="Z22" s="25" t="inlineStr">
        <is>
          <t>UCPD1_FRSTX1 / UCPD1_FRSTX2</t>
        </is>
      </c>
      <c r="AA22" s="25" t="inlineStr">
        <is>
          <t>EVENTOUT</t>
        </is>
      </c>
    </row>
    <row r="23" ht="22.35" customHeight="1" s="21">
      <c r="A23" s="28" t="n">
        <v>22</v>
      </c>
      <c r="B23" s="29" t="inlineStr">
        <is>
          <t>PC4</t>
        </is>
      </c>
      <c r="C23" s="28" t="inlineStr">
        <is>
          <t>I/O</t>
        </is>
      </c>
      <c r="D23" s="29" t="inlineStr">
        <is>
          <t>ADDR4</t>
        </is>
      </c>
      <c r="E23" s="28" t="inlineStr">
        <is>
          <t>Used</t>
        </is>
      </c>
      <c r="F23" s="30" t="inlineStr">
        <is>
          <t>GPIO input</t>
        </is>
      </c>
      <c r="G23" s="30" t="inlineStr">
        <is>
          <t>Input, no pull (10k external pull-up)</t>
        </is>
      </c>
      <c r="H23" s="28" t="inlineStr">
        <is>
          <t>In</t>
        </is>
      </c>
      <c r="I23" s="29" t="inlineStr">
        <is>
          <t>R36.1, R42.2, SW1.5</t>
        </is>
      </c>
      <c r="J23" s="29" t="inlineStr">
        <is>
          <t>Address bit 4: DIP SW1 / header J5 (ON or jumper = 0)</t>
        </is>
      </c>
      <c r="K23" s="25" t="inlineStr">
        <is>
          <t>ADC2_IN5</t>
        </is>
      </c>
      <c r="L23" s="25" t="n"/>
      <c r="M23" s="25" t="n"/>
      <c r="N23" s="25" t="inlineStr">
        <is>
          <t>TIM1_ETR</t>
        </is>
      </c>
      <c r="O23" s="25" t="n"/>
      <c r="P23" s="25" t="inlineStr">
        <is>
          <t>I2C2_SCL</t>
        </is>
      </c>
      <c r="Q23" s="25" t="n"/>
      <c r="R23" s="25" t="n"/>
      <c r="S23" s="25" t="inlineStr">
        <is>
          <t>USART1_TX</t>
        </is>
      </c>
      <c r="T23" s="25" t="n"/>
      <c r="U23" s="25" t="n"/>
      <c r="V23" s="25" t="inlineStr">
        <is>
          <t>QUADSPI1_BK2_IO3</t>
        </is>
      </c>
      <c r="W23" s="25" t="n"/>
      <c r="X23" s="25" t="n"/>
      <c r="Y23" s="25" t="n"/>
      <c r="Z23" s="25" t="n"/>
      <c r="AA23" s="25" t="inlineStr">
        <is>
          <t>EVENTOUT</t>
        </is>
      </c>
    </row>
    <row r="24" ht="43.25" customHeight="1" s="21">
      <c r="A24" s="28" t="n">
        <v>23</v>
      </c>
      <c r="B24" s="29" t="inlineStr">
        <is>
          <t>PC5</t>
        </is>
      </c>
      <c r="C24" s="28" t="inlineStr">
        <is>
          <t>I/O</t>
        </is>
      </c>
      <c r="D24" s="29" t="inlineStr">
        <is>
          <t>ADDR5</t>
        </is>
      </c>
      <c r="E24" s="28" t="inlineStr">
        <is>
          <t>Used</t>
        </is>
      </c>
      <c r="F24" s="30" t="inlineStr">
        <is>
          <t>GPIO input</t>
        </is>
      </c>
      <c r="G24" s="30" t="inlineStr">
        <is>
          <t>Input, no pull (10k external pull-up)</t>
        </is>
      </c>
      <c r="H24" s="28" t="inlineStr">
        <is>
          <t>In</t>
        </is>
      </c>
      <c r="I24" s="29" t="inlineStr">
        <is>
          <t>R37.1, R43.2, SW1.6</t>
        </is>
      </c>
      <c r="J24" s="29" t="inlineStr">
        <is>
          <t>Address bit 5: DIP SW1 / header J5 (ON or jumper = 0)</t>
        </is>
      </c>
      <c r="K24" s="25" t="inlineStr">
        <is>
          <t>ADC2_IN11, OPAMP1_VINM, OPAMP1_VINM1, OPAMP1_VINM_SEC, OPAMP2_VINM, OPAMP2_VINM1, OPAMP2_VINM_SEC, SYS_WKUP5</t>
        </is>
      </c>
      <c r="L24" s="25" t="n"/>
      <c r="M24" s="25" t="n"/>
      <c r="N24" s="25" t="inlineStr">
        <is>
          <t>TIM15_BKIN</t>
        </is>
      </c>
      <c r="O24" s="25" t="inlineStr">
        <is>
          <t>SAI1_D3</t>
        </is>
      </c>
      <c r="P24" s="25" t="n"/>
      <c r="Q24" s="25" t="n"/>
      <c r="R24" s="25" t="inlineStr">
        <is>
          <t>TIM1_CH4N</t>
        </is>
      </c>
      <c r="S24" s="25" t="inlineStr">
        <is>
          <t>USART1_RX</t>
        </is>
      </c>
      <c r="T24" s="25" t="n"/>
      <c r="U24" s="25" t="n"/>
      <c r="V24" s="25" t="n"/>
      <c r="W24" s="25" t="n"/>
      <c r="X24" s="25" t="n"/>
      <c r="Y24" s="25" t="inlineStr">
        <is>
          <t>HRTIM1_EEV10</t>
        </is>
      </c>
      <c r="Z24" s="25" t="n"/>
      <c r="AA24" s="25" t="inlineStr">
        <is>
          <t>EVENTOUT</t>
        </is>
      </c>
    </row>
    <row r="25" ht="32.8" customHeight="1" s="21">
      <c r="A25" s="28" t="n">
        <v>24</v>
      </c>
      <c r="B25" s="29" t="inlineStr">
        <is>
          <t>PB0</t>
        </is>
      </c>
      <c r="C25" s="28" t="inlineStr">
        <is>
          <t>I/O</t>
        </is>
      </c>
      <c r="D25" s="29" t="inlineStr">
        <is>
          <t>IL_SNS</t>
        </is>
      </c>
      <c r="E25" s="28" t="inlineStr">
        <is>
          <t>Used</t>
        </is>
      </c>
      <c r="F25" s="30" t="inlineStr">
        <is>
          <t>COMP4_INP</t>
        </is>
      </c>
      <c r="G25" s="30" t="inlineStr">
        <is>
          <t>Analog</t>
        </is>
      </c>
      <c r="H25" s="28" t="inlineStr">
        <is>
          <t>In</t>
        </is>
      </c>
      <c r="I25" s="29" t="inlineStr">
        <is>
          <t>C45.1, R27.2, TP13.1</t>
        </is>
      </c>
      <c r="J25" s="29" t="inlineStr">
        <is>
          <t>Inductor current (INA181A1 on 4 mOhm, 1.65 V + 0.08 V/A): buck-mode negative OCP, COMP4 output inverted -&gt; HRTIM fault</t>
        </is>
      </c>
      <c r="K25" s="25" t="inlineStr">
        <is>
          <t>ADC1_IN15, ADC3_IN12, COMP4_INP, OPAMP2_VINP, OPAMP2_VINP_SEC, OPAMP3_VINP, OPAMP3_VINP_SEC</t>
        </is>
      </c>
      <c r="L25" s="25" t="n"/>
      <c r="M25" s="25" t="n"/>
      <c r="N25" s="25" t="inlineStr">
        <is>
          <t>TIM3_CH3</t>
        </is>
      </c>
      <c r="O25" s="25" t="n"/>
      <c r="P25" s="25" t="inlineStr">
        <is>
          <t>TIM8_CH2N</t>
        </is>
      </c>
      <c r="Q25" s="25" t="n"/>
      <c r="R25" s="25" t="inlineStr">
        <is>
          <t>TIM1_CH2N</t>
        </is>
      </c>
      <c r="S25" s="25" t="n"/>
      <c r="T25" s="25" t="n"/>
      <c r="U25" s="25" t="n"/>
      <c r="V25" s="25" t="inlineStr">
        <is>
          <t>QUADSPI1_BK1_IO1</t>
        </is>
      </c>
      <c r="W25" s="25" t="n"/>
      <c r="X25" s="25" t="n"/>
      <c r="Y25" s="25" t="inlineStr">
        <is>
          <t>HRTIM1_FLT5</t>
        </is>
      </c>
      <c r="Z25" s="25" t="inlineStr">
        <is>
          <t>UCPD1_FRSTX1 / UCPD1_FRSTX2</t>
        </is>
      </c>
      <c r="AA25" s="25" t="inlineStr">
        <is>
          <t>EVENTOUT</t>
        </is>
      </c>
    </row>
    <row r="26" ht="32.8" customHeight="1" s="21">
      <c r="A26" s="28" t="n">
        <v>25</v>
      </c>
      <c r="B26" s="29" t="inlineStr">
        <is>
          <t>PB1</t>
        </is>
      </c>
      <c r="C26" s="28" t="inlineStr">
        <is>
          <t>I/O</t>
        </is>
      </c>
      <c r="D26" s="29" t="inlineStr">
        <is>
          <t>IL_SNS</t>
        </is>
      </c>
      <c r="E26" s="28" t="inlineStr">
        <is>
          <t>Used</t>
        </is>
      </c>
      <c r="F26" s="30" t="inlineStr">
        <is>
          <t>ADC1_IN12 + COMP1_INP</t>
        </is>
      </c>
      <c r="G26" s="30" t="inlineStr">
        <is>
          <t>Analog</t>
        </is>
      </c>
      <c r="H26" s="28" t="inlineStr">
        <is>
          <t>In</t>
        </is>
      </c>
      <c r="I26" s="29" t="inlineStr">
        <is>
          <t>C45.1, R27.2, TP13.1</t>
        </is>
      </c>
      <c r="J26" s="29" t="inlineStr">
        <is>
          <t>Inductor current sample for CC loop; COMP1 = positive OCP -&gt; HRTIM fault (thresholds from DAC3)</t>
        </is>
      </c>
      <c r="K26" s="25" t="inlineStr">
        <is>
          <t>ADC1_IN12, ADC3_IN1, COMP1_INP, OPAMP3_VOUT, OPAMP6_VINM, OPAMP6_VINM1, OPAMP6_VINM_SEC</t>
        </is>
      </c>
      <c r="L26" s="25" t="n"/>
      <c r="M26" s="25" t="n"/>
      <c r="N26" s="25" t="inlineStr">
        <is>
          <t>TIM3_CH4</t>
        </is>
      </c>
      <c r="O26" s="25" t="n"/>
      <c r="P26" s="25" t="inlineStr">
        <is>
          <t>TIM8_CH3N</t>
        </is>
      </c>
      <c r="Q26" s="25" t="n"/>
      <c r="R26" s="25" t="inlineStr">
        <is>
          <t>TIM1_CH3N</t>
        </is>
      </c>
      <c r="S26" s="25" t="n"/>
      <c r="T26" s="25" t="inlineStr">
        <is>
          <t>COMP4_OUT</t>
        </is>
      </c>
      <c r="U26" s="25" t="n"/>
      <c r="V26" s="25" t="inlineStr">
        <is>
          <t>QUADSPI1_BK1_IO0</t>
        </is>
      </c>
      <c r="W26" s="25" t="n"/>
      <c r="X26" s="25" t="inlineStr">
        <is>
          <t>LPUART1_DE / LPUART1_RTS</t>
        </is>
      </c>
      <c r="Y26" s="25" t="inlineStr">
        <is>
          <t>HRTIM1_SCOUT</t>
        </is>
      </c>
      <c r="Z26" s="25" t="n"/>
      <c r="AA26" s="25" t="inlineStr">
        <is>
          <t>EVENTOUT</t>
        </is>
      </c>
    </row>
    <row r="27" ht="32.8" customHeight="1" s="21">
      <c r="A27" s="26" t="n">
        <v>26</v>
      </c>
      <c r="B27" s="27" t="inlineStr">
        <is>
          <t>PB2</t>
        </is>
      </c>
      <c r="C27" s="26" t="inlineStr">
        <is>
          <t>I/O</t>
        </is>
      </c>
      <c r="D27" s="27" t="inlineStr">
        <is>
          <t>SP_PB2</t>
        </is>
      </c>
      <c r="E27" s="26" t="inlineStr">
        <is>
          <t>Unused</t>
        </is>
      </c>
      <c r="F27" s="27" t="inlineStr">
        <is>
          <t>Not used</t>
        </is>
      </c>
      <c r="G27" s="27" t="inlineStr">
        <is>
          <t>Analog (reset state) or input</t>
        </is>
      </c>
      <c r="H27" s="26" t="inlineStr">
        <is>
          <t>-</t>
        </is>
      </c>
      <c r="I27" s="27" t="inlineStr">
        <is>
          <t>R97.1</t>
        </is>
      </c>
      <c r="J27" s="27" t="inlineStr">
        <is>
          <t>10k pull-down to GND (R97)</t>
        </is>
      </c>
      <c r="K27" s="25" t="inlineStr">
        <is>
          <t>ADC2_IN12, ADC3_EXTI2, ADC4_EXTI2, ADC5_EXTI2, COMP4_INM, OPAMP3_VINM, OPAMP3_VINM0, OPAMP3_VINM_SEC</t>
        </is>
      </c>
      <c r="L27" s="25" t="inlineStr">
        <is>
          <t>RTC_OUT2</t>
        </is>
      </c>
      <c r="M27" s="25" t="inlineStr">
        <is>
          <t>LPTIM1_OUT</t>
        </is>
      </c>
      <c r="N27" s="25" t="inlineStr">
        <is>
          <t>TIM5_CH1</t>
        </is>
      </c>
      <c r="O27" s="25" t="inlineStr">
        <is>
          <t>TIM20_CH1</t>
        </is>
      </c>
      <c r="P27" s="25" t="inlineStr">
        <is>
          <t>I2C3_SMBA</t>
        </is>
      </c>
      <c r="Q27" s="25" t="n"/>
      <c r="R27" s="25" t="n"/>
      <c r="S27" s="25" t="n"/>
      <c r="T27" s="25" t="n"/>
      <c r="U27" s="25" t="n"/>
      <c r="V27" s="25" t="inlineStr">
        <is>
          <t>QUADSPI1_BK2_IO1</t>
        </is>
      </c>
      <c r="W27" s="25" t="n"/>
      <c r="X27" s="25" t="n"/>
      <c r="Y27" s="25" t="inlineStr">
        <is>
          <t>HRTIM1_SCIN</t>
        </is>
      </c>
      <c r="Z27" s="25" t="n"/>
      <c r="AA27" s="25" t="inlineStr">
        <is>
          <t>EVENTOUT</t>
        </is>
      </c>
    </row>
    <row r="28" ht="15" customHeight="1" s="21">
      <c r="A28" s="23" t="n">
        <v>27</v>
      </c>
      <c r="B28" s="24" t="inlineStr">
        <is>
          <t>VSSA</t>
        </is>
      </c>
      <c r="C28" s="23" t="inlineStr">
        <is>
          <t>Power</t>
        </is>
      </c>
      <c r="D28" s="24" t="inlineStr">
        <is>
          <t>GND</t>
        </is>
      </c>
      <c r="E28" s="23" t="inlineStr">
        <is>
          <t>Power</t>
        </is>
      </c>
      <c r="F28" s="24" t="inlineStr">
        <is>
          <t>Ground</t>
        </is>
      </c>
      <c r="G28" s="24" t="inlineStr">
        <is>
          <t>Power</t>
        </is>
      </c>
      <c r="H28" s="23" t="inlineStr">
        <is>
          <t>Supply</t>
        </is>
      </c>
      <c r="I28" s="24" t="n"/>
      <c r="J28" s="24" t="inlineStr">
        <is>
          <t>Secondary GND plane (In1)</t>
        </is>
      </c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</row>
    <row r="29" ht="22.35" customHeight="1" s="21">
      <c r="A29" s="23" t="n">
        <v>28</v>
      </c>
      <c r="B29" s="24" t="inlineStr">
        <is>
          <t>VREF+</t>
        </is>
      </c>
      <c r="C29" s="23" t="inlineStr">
        <is>
          <t>MonoIO</t>
        </is>
      </c>
      <c r="D29" s="24" t="inlineStr">
        <is>
          <t>+3V3A</t>
        </is>
      </c>
      <c r="E29" s="23" t="inlineStr">
        <is>
          <t>Power</t>
        </is>
      </c>
      <c r="F29" s="24" t="inlineStr">
        <is>
          <t>VREF+ input</t>
        </is>
      </c>
      <c r="G29" s="24" t="inlineStr">
        <is>
          <t>Power</t>
        </is>
      </c>
      <c r="H29" s="23" t="inlineStr">
        <is>
          <t>Supply</t>
        </is>
      </c>
      <c r="I29" s="24" t="n"/>
      <c r="J29" s="24" t="inlineStr">
        <is>
          <t>Tied to +3V3A (VREFBUF disabled); ADC/DAC full scale = 3.3 V</t>
        </is>
      </c>
      <c r="K29" s="25" t="inlineStr">
        <is>
          <t>VREFBUF_OUT</t>
        </is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22.35" customHeight="1" s="21">
      <c r="A30" s="23" t="n">
        <v>29</v>
      </c>
      <c r="B30" s="24" t="inlineStr">
        <is>
          <t>VDDA</t>
        </is>
      </c>
      <c r="C30" s="23" t="inlineStr">
        <is>
          <t>Power</t>
        </is>
      </c>
      <c r="D30" s="24" t="inlineStr">
        <is>
          <t>+3V3A</t>
        </is>
      </c>
      <c r="E30" s="23" t="inlineStr">
        <is>
          <t>Power</t>
        </is>
      </c>
      <c r="F30" s="24" t="inlineStr">
        <is>
          <t>Analog supply / reference</t>
        </is>
      </c>
      <c r="G30" s="24" t="inlineStr">
        <is>
          <t>Power</t>
        </is>
      </c>
      <c r="H30" s="23" t="inlineStr">
        <is>
          <t>Supply</t>
        </is>
      </c>
      <c r="I30" s="24" t="n"/>
      <c r="J30" s="24" t="inlineStr">
        <is>
          <t>VDDA and VREF+ from +3V3 via FB1; VREFBUF off, VREF+ used as input (1 uF + 100 nF)</t>
        </is>
      </c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</row>
    <row r="31" ht="53.7" customHeight="1" s="21">
      <c r="A31" s="26" t="n">
        <v>30</v>
      </c>
      <c r="B31" s="27" t="inlineStr">
        <is>
          <t>PB10</t>
        </is>
      </c>
      <c r="C31" s="26" t="inlineStr">
        <is>
          <t>I/O</t>
        </is>
      </c>
      <c r="D31" s="27" t="inlineStr">
        <is>
          <t>SP_PB10</t>
        </is>
      </c>
      <c r="E31" s="26" t="inlineStr">
        <is>
          <t>Unused</t>
        </is>
      </c>
      <c r="F31" s="27" t="inlineStr">
        <is>
          <t>Not used</t>
        </is>
      </c>
      <c r="G31" s="27" t="inlineStr">
        <is>
          <t>Analog (reset state) or input</t>
        </is>
      </c>
      <c r="H31" s="26" t="inlineStr">
        <is>
          <t>-</t>
        </is>
      </c>
      <c r="I31" s="27" t="inlineStr">
        <is>
          <t>R98.1</t>
        </is>
      </c>
      <c r="J31" s="27" t="inlineStr">
        <is>
          <t>10k pull-down to GND (R98)</t>
        </is>
      </c>
      <c r="K31" s="25" t="inlineStr">
        <is>
          <t>COMP5_INM, DAC1_EXTI10, DAC2_EXTI10, DAC3_EXTI10, DAC4_EXTI10, OPAMP3_VINM, OPAMP3_VINM1, OPAMP3_VINM_SEC, OPAMP4_VINM, OPAMP4_VINM0, OPAMP4_VINM_SEC</t>
        </is>
      </c>
      <c r="L31" s="25" t="n"/>
      <c r="M31" s="25" t="inlineStr">
        <is>
          <t>TIM2_CH3</t>
        </is>
      </c>
      <c r="N31" s="25" t="n"/>
      <c r="O31" s="25" t="n"/>
      <c r="P31" s="25" t="n"/>
      <c r="Q31" s="25" t="n"/>
      <c r="R31" s="25" t="n"/>
      <c r="S31" s="25" t="inlineStr">
        <is>
          <t>USART3_TX</t>
        </is>
      </c>
      <c r="T31" s="25" t="inlineStr">
        <is>
          <t>LPUART1_RX</t>
        </is>
      </c>
      <c r="U31" s="25" t="n"/>
      <c r="V31" s="25" t="inlineStr">
        <is>
          <t>QUADSPI1_CLK</t>
        </is>
      </c>
      <c r="W31" s="25" t="n"/>
      <c r="X31" s="25" t="inlineStr">
        <is>
          <t>TIM1_BKIN</t>
        </is>
      </c>
      <c r="Y31" s="25" t="inlineStr">
        <is>
          <t>HRTIM1_FLT3</t>
        </is>
      </c>
      <c r="Z31" s="25" t="inlineStr">
        <is>
          <t>SAI1_SCK_A</t>
        </is>
      </c>
      <c r="AA31" s="25" t="inlineStr">
        <is>
          <t>EVENTOUT</t>
        </is>
      </c>
    </row>
    <row r="32" ht="15" customHeight="1" s="21">
      <c r="A32" s="23" t="n">
        <v>31</v>
      </c>
      <c r="B32" s="24" t="inlineStr">
        <is>
          <t>VSS</t>
        </is>
      </c>
      <c r="C32" s="23" t="inlineStr">
        <is>
          <t>Power</t>
        </is>
      </c>
      <c r="D32" s="24" t="inlineStr">
        <is>
          <t>GND</t>
        </is>
      </c>
      <c r="E32" s="23" t="inlineStr">
        <is>
          <t>Power</t>
        </is>
      </c>
      <c r="F32" s="24" t="inlineStr">
        <is>
          <t>Ground</t>
        </is>
      </c>
      <c r="G32" s="24" t="inlineStr">
        <is>
          <t>Power</t>
        </is>
      </c>
      <c r="H32" s="23" t="inlineStr">
        <is>
          <t>Supply</t>
        </is>
      </c>
      <c r="I32" s="24" t="n"/>
      <c r="J32" s="24" t="inlineStr">
        <is>
          <t>Secondary GND plane (In1)</t>
        </is>
      </c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</row>
    <row r="33" ht="15" customHeight="1" s="21">
      <c r="A33" s="23" t="n">
        <v>32</v>
      </c>
      <c r="B33" s="24" t="inlineStr">
        <is>
          <t>VDD</t>
        </is>
      </c>
      <c r="C33" s="23" t="inlineStr">
        <is>
          <t>Power</t>
        </is>
      </c>
      <c r="D33" s="24" t="inlineStr">
        <is>
          <t>+3V3</t>
        </is>
      </c>
      <c r="E33" s="23" t="inlineStr">
        <is>
          <t>Power</t>
        </is>
      </c>
      <c r="F33" s="24" t="inlineStr">
        <is>
          <t>VDD supply</t>
        </is>
      </c>
      <c r="G33" s="24" t="inlineStr">
        <is>
          <t>Power</t>
        </is>
      </c>
      <c r="H33" s="23" t="inlineStr">
        <is>
          <t>Supply</t>
        </is>
      </c>
      <c r="I33" s="24" t="n"/>
      <c r="J33" s="24" t="inlineStr">
        <is>
          <t>100 nF per VDD pin (C30-C34) + 4.7 uF bulk (C35)</t>
        </is>
      </c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32.8" customHeight="1" s="21">
      <c r="A34" s="28" t="n">
        <v>33</v>
      </c>
      <c r="B34" s="29" t="inlineStr">
        <is>
          <t>PB11</t>
        </is>
      </c>
      <c r="C34" s="28" t="inlineStr">
        <is>
          <t>I/O</t>
        </is>
      </c>
      <c r="D34" s="29" t="inlineStr">
        <is>
          <t>VOUT_SNS</t>
        </is>
      </c>
      <c r="E34" s="28" t="inlineStr">
        <is>
          <t>Used</t>
        </is>
      </c>
      <c r="F34" s="30" t="inlineStr">
        <is>
          <t>ADC1_IN14 + COMP6_INP</t>
        </is>
      </c>
      <c r="G34" s="30" t="inlineStr">
        <is>
          <t>Analog</t>
        </is>
      </c>
      <c r="H34" s="28" t="inlineStr">
        <is>
          <t>In</t>
        </is>
      </c>
      <c r="I34" s="29" t="inlineStr">
        <is>
          <t>C42.1, R23.2, R24.1</t>
        </is>
      </c>
      <c r="J34" s="29" t="inlineStr">
        <is>
          <t>VOUT divider 100k/5.1k; COMP6 = fast hardware OVP (threshold from DAC3)</t>
        </is>
      </c>
      <c r="K34" s="25" t="inlineStr">
        <is>
          <t>ADC1_EXTI11, ADC1_IN14, ADC2_EXTI11, ADC2_IN14, COMP6_INP, OPAMP4_VINP, OPAMP4_VINP_SEC, OPAMP6_VOUT</t>
        </is>
      </c>
      <c r="L34" s="25" t="n"/>
      <c r="M34" s="25" t="inlineStr">
        <is>
          <t>TIM2_CH4</t>
        </is>
      </c>
      <c r="N34" s="25" t="n"/>
      <c r="O34" s="25" t="n"/>
      <c r="P34" s="25" t="n"/>
      <c r="Q34" s="25" t="n"/>
      <c r="R34" s="25" t="n"/>
      <c r="S34" s="25" t="inlineStr">
        <is>
          <t>USART3_RX</t>
        </is>
      </c>
      <c r="T34" s="25" t="inlineStr">
        <is>
          <t>LPUART1_TX</t>
        </is>
      </c>
      <c r="U34" s="25" t="n"/>
      <c r="V34" s="25" t="inlineStr">
        <is>
          <t>QUADSPI1_BK1_NCS</t>
        </is>
      </c>
      <c r="W34" s="25" t="n"/>
      <c r="X34" s="25" t="n"/>
      <c r="Y34" s="25" t="inlineStr">
        <is>
          <t>HRTIM1_FLT4</t>
        </is>
      </c>
      <c r="Z34" s="25" t="n"/>
      <c r="AA34" s="25" t="inlineStr">
        <is>
          <t>EVENTOUT</t>
        </is>
      </c>
    </row>
    <row r="35" ht="32.8" customHeight="1" s="21">
      <c r="A35" s="28" t="n">
        <v>34</v>
      </c>
      <c r="B35" s="29" t="inlineStr">
        <is>
          <t>PB12</t>
        </is>
      </c>
      <c r="C35" s="28" t="inlineStr">
        <is>
          <t>I/O</t>
        </is>
      </c>
      <c r="D35" s="29" t="inlineStr">
        <is>
          <t>LLC_A</t>
        </is>
      </c>
      <c r="E35" s="28" t="inlineStr">
        <is>
          <t>Used</t>
        </is>
      </c>
      <c r="F35" s="30" t="inlineStr">
        <is>
          <t>HRTIM1_CHC1</t>
        </is>
      </c>
      <c r="G35" s="30" t="inlineStr">
        <is>
          <t>AF13</t>
        </is>
      </c>
      <c r="H35" s="28" t="inlineStr">
        <is>
          <t>Out</t>
        </is>
      </c>
      <c r="I35" s="29" t="inlineStr">
        <is>
          <t>R79.1, U12.12</t>
        </is>
      </c>
      <c r="J35" s="29" t="inlineStr">
        <is>
          <t>LLC half-bridge high side via CA-IS3742 (U12) -&gt; UCC27211 (U10)</t>
        </is>
      </c>
      <c r="K35" s="25" t="inlineStr">
        <is>
          <t>ADC1_IN11, ADC4_IN3, COMP7_INM, OPAMP4_VOUT, OPAMP6_VINP, OPAMP6_VINP_SEC</t>
        </is>
      </c>
      <c r="L35" s="25" t="n"/>
      <c r="M35" s="25" t="n"/>
      <c r="N35" s="25" t="inlineStr">
        <is>
          <t>TIM5_ETR</t>
        </is>
      </c>
      <c r="O35" s="25" t="n"/>
      <c r="P35" s="25" t="inlineStr">
        <is>
          <t>I2C2_SMBA</t>
        </is>
      </c>
      <c r="Q35" s="25" t="inlineStr">
        <is>
          <t>I2S2_WS / SPI2_NSS</t>
        </is>
      </c>
      <c r="R35" s="25" t="inlineStr">
        <is>
          <t>TIM1_BKIN</t>
        </is>
      </c>
      <c r="S35" s="25" t="inlineStr">
        <is>
          <t>USART3_CK</t>
        </is>
      </c>
      <c r="T35" s="25" t="inlineStr">
        <is>
          <t>LPUART1_DE / LPUART1_RTS</t>
        </is>
      </c>
      <c r="U35" s="25" t="inlineStr">
        <is>
          <t>FDCAN2_RX</t>
        </is>
      </c>
      <c r="V35" s="25" t="n"/>
      <c r="W35" s="25" t="n"/>
      <c r="X35" s="25" t="n"/>
      <c r="Y35" s="25" t="inlineStr">
        <is>
          <t>HRTIM1_CHC1</t>
        </is>
      </c>
      <c r="Z35" s="25" t="n"/>
      <c r="AA35" s="25" t="inlineStr">
        <is>
          <t>EVENTOUT</t>
        </is>
      </c>
    </row>
    <row r="36" ht="43.25" customHeight="1" s="21">
      <c r="A36" s="28" t="n">
        <v>35</v>
      </c>
      <c r="B36" s="29" t="inlineStr">
        <is>
          <t>PB13</t>
        </is>
      </c>
      <c r="C36" s="28" t="inlineStr">
        <is>
          <t>I/O</t>
        </is>
      </c>
      <c r="D36" s="29" t="inlineStr">
        <is>
          <t>LLC_B</t>
        </is>
      </c>
      <c r="E36" s="28" t="inlineStr">
        <is>
          <t>Used</t>
        </is>
      </c>
      <c r="F36" s="30" t="inlineStr">
        <is>
          <t>HRTIM1_CHC2</t>
        </is>
      </c>
      <c r="G36" s="30" t="inlineStr">
        <is>
          <t>AF13</t>
        </is>
      </c>
      <c r="H36" s="28" t="inlineStr">
        <is>
          <t>Out</t>
        </is>
      </c>
      <c r="I36" s="29" t="inlineStr">
        <is>
          <t>R80.1, U12.11</t>
        </is>
      </c>
      <c r="J36" s="29" t="inlineStr">
        <is>
          <t>LLC half-bridge low side via U12 -&gt; U10</t>
        </is>
      </c>
      <c r="K36" s="25" t="inlineStr">
        <is>
          <t>ADC3_IN5, COMP5_INP, OPAMP3_VINP, OPAMP3_VINP_SEC, OPAMP4_VINP, OPAMP4_VINP_SEC, OPAMP6_VINP, OPAMP6_VINP_SEC</t>
        </is>
      </c>
      <c r="L36" s="25" t="n"/>
      <c r="M36" s="25" t="n"/>
      <c r="N36" s="25" t="n"/>
      <c r="O36" s="25" t="n"/>
      <c r="P36" s="25" t="n"/>
      <c r="Q36" s="25" t="inlineStr">
        <is>
          <t>I2S2_CK / SPI2_SCK</t>
        </is>
      </c>
      <c r="R36" s="25" t="inlineStr">
        <is>
          <t>TIM1_CH1N</t>
        </is>
      </c>
      <c r="S36" s="25" t="inlineStr">
        <is>
          <t>USART3_CTS / USART3_NSS</t>
        </is>
      </c>
      <c r="T36" s="25" t="inlineStr">
        <is>
          <t>LPUART1_CTS</t>
        </is>
      </c>
      <c r="U36" s="25" t="inlineStr">
        <is>
          <t>FDCAN2_TX</t>
        </is>
      </c>
      <c r="V36" s="25" t="n"/>
      <c r="W36" s="25" t="n"/>
      <c r="X36" s="25" t="n"/>
      <c r="Y36" s="25" t="inlineStr">
        <is>
          <t>HRTIM1_CHC2</t>
        </is>
      </c>
      <c r="Z36" s="25" t="n"/>
      <c r="AA36" s="25" t="inlineStr">
        <is>
          <t>EVENTOUT</t>
        </is>
      </c>
    </row>
    <row r="37" ht="32.8" customHeight="1" s="21">
      <c r="A37" s="28" t="n">
        <v>36</v>
      </c>
      <c r="B37" s="29" t="inlineStr">
        <is>
          <t>PB14</t>
        </is>
      </c>
      <c r="C37" s="28" t="inlineStr">
        <is>
          <t>I/O</t>
        </is>
      </c>
      <c r="D37" s="29" t="inlineStr">
        <is>
          <t>SR1_PWM</t>
        </is>
      </c>
      <c r="E37" s="28" t="inlineStr">
        <is>
          <t>Used</t>
        </is>
      </c>
      <c r="F37" s="30" t="inlineStr">
        <is>
          <t>HRTIM1_CHD1</t>
        </is>
      </c>
      <c r="G37" s="30" t="inlineStr">
        <is>
          <t>AF13</t>
        </is>
      </c>
      <c r="H37" s="28" t="inlineStr">
        <is>
          <t>Out</t>
        </is>
      </c>
      <c r="I37" s="29" t="inlineStr">
        <is>
          <t>R73.1, U11.2</t>
        </is>
      </c>
      <c r="J37" s="29" t="inlineStr">
        <is>
          <t>Synchronous rectifier Q7 via UCC27524 (U11)</t>
        </is>
      </c>
      <c r="K37" s="25" t="inlineStr">
        <is>
          <t>ADC1_IN5, ADC4_IN4, COMP7_INP, OPAMP2_VINP, OPAMP2_VINP_SEC, OPAMP5_VINP, OPAMP5_VINP_SEC</t>
        </is>
      </c>
      <c r="L37" s="25" t="n"/>
      <c r="M37" s="25" t="inlineStr">
        <is>
          <t>TIM15_CH1</t>
        </is>
      </c>
      <c r="N37" s="25" t="n"/>
      <c r="O37" s="25" t="n"/>
      <c r="P37" s="25" t="n"/>
      <c r="Q37" s="25" t="inlineStr">
        <is>
          <t>SPI2_MISO</t>
        </is>
      </c>
      <c r="R37" s="25" t="inlineStr">
        <is>
          <t>TIM1_CH2N</t>
        </is>
      </c>
      <c r="S37" s="25" t="inlineStr">
        <is>
          <t>USART3_DE / USART3_RTS</t>
        </is>
      </c>
      <c r="T37" s="25" t="inlineStr">
        <is>
          <t>COMP4_OUT</t>
        </is>
      </c>
      <c r="U37" s="25" t="n"/>
      <c r="V37" s="25" t="n"/>
      <c r="W37" s="25" t="n"/>
      <c r="X37" s="25" t="n"/>
      <c r="Y37" s="25" t="inlineStr">
        <is>
          <t>HRTIM1_CHD1</t>
        </is>
      </c>
      <c r="Z37" s="25" t="n"/>
      <c r="AA37" s="25" t="inlineStr">
        <is>
          <t>EVENTOUT</t>
        </is>
      </c>
    </row>
    <row r="38" ht="32.8" customHeight="1" s="21">
      <c r="A38" s="28" t="n">
        <v>37</v>
      </c>
      <c r="B38" s="29" t="inlineStr">
        <is>
          <t>PB15</t>
        </is>
      </c>
      <c r="C38" s="28" t="inlineStr">
        <is>
          <t>I/O</t>
        </is>
      </c>
      <c r="D38" s="29" t="inlineStr">
        <is>
          <t>SR2_PWM</t>
        </is>
      </c>
      <c r="E38" s="28" t="inlineStr">
        <is>
          <t>Used</t>
        </is>
      </c>
      <c r="F38" s="30" t="inlineStr">
        <is>
          <t>HRTIM1_CHD2</t>
        </is>
      </c>
      <c r="G38" s="30" t="inlineStr">
        <is>
          <t>AF13</t>
        </is>
      </c>
      <c r="H38" s="28" t="inlineStr">
        <is>
          <t>Out</t>
        </is>
      </c>
      <c r="I38" s="29" t="inlineStr">
        <is>
          <t>R74.1, U11.4</t>
        </is>
      </c>
      <c r="J38" s="29" t="inlineStr">
        <is>
          <t>Synchronous rectifier Q8 via U11</t>
        </is>
      </c>
      <c r="K38" s="25" t="inlineStr">
        <is>
          <t>ADC1_EXTI15, ADC2_EXTI15, ADC2_IN15, ADC4_IN5, COMP6_INM, OPAMP5_VINM, OPAMP5_VINM0, OPAMP5_VINM_SEC</t>
        </is>
      </c>
      <c r="L38" s="25" t="inlineStr">
        <is>
          <t>RTC_REFIN</t>
        </is>
      </c>
      <c r="M38" s="25" t="inlineStr">
        <is>
          <t>TIM15_CH2</t>
        </is>
      </c>
      <c r="N38" s="25" t="inlineStr">
        <is>
          <t>TIM15_CH1N</t>
        </is>
      </c>
      <c r="O38" s="25" t="inlineStr">
        <is>
          <t>COMP3_OUT</t>
        </is>
      </c>
      <c r="P38" s="25" t="inlineStr">
        <is>
          <t>TIM1_CH3N</t>
        </is>
      </c>
      <c r="Q38" s="25" t="inlineStr">
        <is>
          <t>I2S2_SD / SPI2_MOSI</t>
        </is>
      </c>
      <c r="R38" s="25" t="n"/>
      <c r="S38" s="25" t="n"/>
      <c r="T38" s="25" t="n"/>
      <c r="U38" s="25" t="n"/>
      <c r="V38" s="25" t="n"/>
      <c r="W38" s="25" t="n"/>
      <c r="X38" s="25" t="n"/>
      <c r="Y38" s="25" t="inlineStr">
        <is>
          <t>HRTIM1_CHD2</t>
        </is>
      </c>
      <c r="Z38" s="25" t="n"/>
      <c r="AA38" s="25" t="inlineStr">
        <is>
          <t>EVENTOUT</t>
        </is>
      </c>
    </row>
    <row r="39" ht="22.35" customHeight="1" s="21">
      <c r="A39" s="26" t="n">
        <v>38</v>
      </c>
      <c r="B39" s="27" t="inlineStr">
        <is>
          <t>PC6</t>
        </is>
      </c>
      <c r="C39" s="26" t="inlineStr">
        <is>
          <t>I/O</t>
        </is>
      </c>
      <c r="D39" s="27" t="inlineStr">
        <is>
          <t>SP_PC6</t>
        </is>
      </c>
      <c r="E39" s="26" t="inlineStr">
        <is>
          <t>Unused</t>
        </is>
      </c>
      <c r="F39" s="27" t="inlineStr">
        <is>
          <t>Not used</t>
        </is>
      </c>
      <c r="G39" s="27" t="inlineStr">
        <is>
          <t>Analog (reset state) or input</t>
        </is>
      </c>
      <c r="H39" s="26" t="inlineStr">
        <is>
          <t>-</t>
        </is>
      </c>
      <c r="I39" s="27" t="inlineStr">
        <is>
          <t>R99.1</t>
        </is>
      </c>
      <c r="J39" s="27" t="inlineStr">
        <is>
          <t>10k pull-down to GND (R99)</t>
        </is>
      </c>
      <c r="K39" s="25" t="n"/>
      <c r="L39" s="25" t="n"/>
      <c r="M39" s="25" t="n"/>
      <c r="N39" s="25" t="inlineStr">
        <is>
          <t>TIM3_CH1</t>
        </is>
      </c>
      <c r="O39" s="25" t="inlineStr">
        <is>
          <t>HRTIM1_EEV10</t>
        </is>
      </c>
      <c r="P39" s="25" t="inlineStr">
        <is>
          <t>TIM8_CH1</t>
        </is>
      </c>
      <c r="Q39" s="25" t="n"/>
      <c r="R39" s="25" t="inlineStr">
        <is>
          <t>I2S2_MCK</t>
        </is>
      </c>
      <c r="S39" s="25" t="inlineStr">
        <is>
          <t>COMP6_OUT</t>
        </is>
      </c>
      <c r="T39" s="25" t="inlineStr">
        <is>
          <t>I2C4_SCL</t>
        </is>
      </c>
      <c r="U39" s="25" t="n"/>
      <c r="V39" s="25" t="n"/>
      <c r="W39" s="25" t="n"/>
      <c r="X39" s="25" t="n"/>
      <c r="Y39" s="25" t="inlineStr">
        <is>
          <t>HRTIM1_CHF1</t>
        </is>
      </c>
      <c r="Z39" s="25" t="n"/>
      <c r="AA39" s="25" t="inlineStr">
        <is>
          <t>EVENTOUT</t>
        </is>
      </c>
    </row>
    <row r="40" ht="22.35" customHeight="1" s="21">
      <c r="A40" s="26" t="n">
        <v>39</v>
      </c>
      <c r="B40" s="27" t="inlineStr">
        <is>
          <t>PC7</t>
        </is>
      </c>
      <c r="C40" s="26" t="inlineStr">
        <is>
          <t>I/O</t>
        </is>
      </c>
      <c r="D40" s="27" t="inlineStr">
        <is>
          <t>SP_PC7</t>
        </is>
      </c>
      <c r="E40" s="26" t="inlineStr">
        <is>
          <t>Unused</t>
        </is>
      </c>
      <c r="F40" s="27" t="inlineStr">
        <is>
          <t>Not used</t>
        </is>
      </c>
      <c r="G40" s="27" t="inlineStr">
        <is>
          <t>Analog (reset state) or input</t>
        </is>
      </c>
      <c r="H40" s="26" t="inlineStr">
        <is>
          <t>-</t>
        </is>
      </c>
      <c r="I40" s="27" t="inlineStr">
        <is>
          <t>R100.1</t>
        </is>
      </c>
      <c r="J40" s="27" t="inlineStr">
        <is>
          <t>10k pull-down to GND (R100)</t>
        </is>
      </c>
      <c r="K40" s="25" t="n"/>
      <c r="L40" s="25" t="n"/>
      <c r="M40" s="25" t="n"/>
      <c r="N40" s="25" t="inlineStr">
        <is>
          <t>TIM3_CH2</t>
        </is>
      </c>
      <c r="O40" s="25" t="inlineStr">
        <is>
          <t>HRTIM1_FLT5</t>
        </is>
      </c>
      <c r="P40" s="25" t="inlineStr">
        <is>
          <t>TIM8_CH2</t>
        </is>
      </c>
      <c r="Q40" s="25" t="n"/>
      <c r="R40" s="25" t="inlineStr">
        <is>
          <t>I2S3_MCK</t>
        </is>
      </c>
      <c r="S40" s="25" t="inlineStr">
        <is>
          <t>COMP5_OUT</t>
        </is>
      </c>
      <c r="T40" s="25" t="inlineStr">
        <is>
          <t>I2C4_SDA</t>
        </is>
      </c>
      <c r="U40" s="25" t="n"/>
      <c r="V40" s="25" t="n"/>
      <c r="W40" s="25" t="n"/>
      <c r="X40" s="25" t="n"/>
      <c r="Y40" s="25" t="inlineStr">
        <is>
          <t>HRTIM1_CHF2</t>
        </is>
      </c>
      <c r="Z40" s="25" t="n"/>
      <c r="AA40" s="25" t="inlineStr">
        <is>
          <t>EVENTOUT</t>
        </is>
      </c>
    </row>
    <row r="41" ht="15" customHeight="1" s="21">
      <c r="A41" s="28" t="n">
        <v>40</v>
      </c>
      <c r="B41" s="29" t="inlineStr">
        <is>
          <t>PC8</t>
        </is>
      </c>
      <c r="C41" s="28" t="inlineStr">
        <is>
          <t>I/O</t>
        </is>
      </c>
      <c r="D41" s="29" t="inlineStr">
        <is>
          <t>PWM_E1</t>
        </is>
      </c>
      <c r="E41" s="28" t="inlineStr">
        <is>
          <t>Used</t>
        </is>
      </c>
      <c r="F41" s="30" t="inlineStr">
        <is>
          <t>HRTIM1_CHE1</t>
        </is>
      </c>
      <c r="G41" s="30" t="inlineStr">
        <is>
          <t>AF3</t>
        </is>
      </c>
      <c r="H41" s="28" t="inlineStr">
        <is>
          <t>Out</t>
        </is>
      </c>
      <c r="I41" s="29" t="inlineStr">
        <is>
          <t>R14.1, U3.5</t>
        </is>
      </c>
      <c r="J41" s="29" t="inlineStr">
        <is>
          <t>4SBB output leg high side Q3 via UCC27211 (U3)</t>
        </is>
      </c>
      <c r="K41" s="25" t="n"/>
      <c r="L41" s="25" t="n"/>
      <c r="M41" s="25" t="n"/>
      <c r="N41" s="25" t="inlineStr">
        <is>
          <t>TIM3_CH3</t>
        </is>
      </c>
      <c r="O41" s="25" t="inlineStr">
        <is>
          <t>HRTIM1_CHE1</t>
        </is>
      </c>
      <c r="P41" s="25" t="inlineStr">
        <is>
          <t>TIM8_CH3</t>
        </is>
      </c>
      <c r="Q41" s="25" t="n"/>
      <c r="R41" s="25" t="inlineStr">
        <is>
          <t>TIM20_CH3</t>
        </is>
      </c>
      <c r="S41" s="25" t="inlineStr">
        <is>
          <t>COMP7_OUT</t>
        </is>
      </c>
      <c r="T41" s="25" t="inlineStr">
        <is>
          <t>I2C3_SCL</t>
        </is>
      </c>
      <c r="U41" s="25" t="n"/>
      <c r="V41" s="25" t="n"/>
      <c r="W41" s="25" t="n"/>
      <c r="X41" s="25" t="n"/>
      <c r="Y41" s="25" t="n"/>
      <c r="Z41" s="25" t="n"/>
      <c r="AA41" s="25" t="inlineStr">
        <is>
          <t>EVENTOUT</t>
        </is>
      </c>
    </row>
    <row r="42" ht="22.35" customHeight="1" s="21">
      <c r="A42" s="28" t="n">
        <v>41</v>
      </c>
      <c r="B42" s="29" t="inlineStr">
        <is>
          <t>PC9</t>
        </is>
      </c>
      <c r="C42" s="28" t="inlineStr">
        <is>
          <t>I/O</t>
        </is>
      </c>
      <c r="D42" s="29" t="inlineStr">
        <is>
          <t>PWM_E2</t>
        </is>
      </c>
      <c r="E42" s="28" t="inlineStr">
        <is>
          <t>Used</t>
        </is>
      </c>
      <c r="F42" s="30" t="inlineStr">
        <is>
          <t>HRTIM1_CHE2</t>
        </is>
      </c>
      <c r="G42" s="30" t="inlineStr">
        <is>
          <t>AF3</t>
        </is>
      </c>
      <c r="H42" s="28" t="inlineStr">
        <is>
          <t>Out</t>
        </is>
      </c>
      <c r="I42" s="29" t="inlineStr">
        <is>
          <t>R15.1, U3.6</t>
        </is>
      </c>
      <c r="J42" s="29" t="inlineStr">
        <is>
          <t>4SBB output leg low side Q4 via U3</t>
        </is>
      </c>
      <c r="K42" s="25" t="inlineStr">
        <is>
          <t>DAC1_EXTI9, DAC2_EXTI9, DAC3_EXTI9, DAC4_EXTI9</t>
        </is>
      </c>
      <c r="L42" s="25" t="n"/>
      <c r="M42" s="25" t="n"/>
      <c r="N42" s="25" t="inlineStr">
        <is>
          <t>TIM3_CH4</t>
        </is>
      </c>
      <c r="O42" s="25" t="inlineStr">
        <is>
          <t>HRTIM1_CHE2</t>
        </is>
      </c>
      <c r="P42" s="25" t="inlineStr">
        <is>
          <t>TIM8_CH4</t>
        </is>
      </c>
      <c r="Q42" s="25" t="inlineStr">
        <is>
          <t>I2S_CKIN</t>
        </is>
      </c>
      <c r="R42" s="25" t="inlineStr">
        <is>
          <t>TIM8_BKIN2</t>
        </is>
      </c>
      <c r="S42" s="25" t="n"/>
      <c r="T42" s="25" t="inlineStr">
        <is>
          <t>I2C3_SDA</t>
        </is>
      </c>
      <c r="U42" s="25" t="n"/>
      <c r="V42" s="25" t="n"/>
      <c r="W42" s="25" t="n"/>
      <c r="X42" s="25" t="n"/>
      <c r="Y42" s="25" t="n"/>
      <c r="Z42" s="25" t="n"/>
      <c r="AA42" s="25" t="inlineStr">
        <is>
          <t>EVENTOUT</t>
        </is>
      </c>
    </row>
    <row r="43" ht="15" customHeight="1" s="21">
      <c r="A43" s="28" t="n">
        <v>42</v>
      </c>
      <c r="B43" s="29" t="inlineStr">
        <is>
          <t>PA8</t>
        </is>
      </c>
      <c r="C43" s="28" t="inlineStr">
        <is>
          <t>I/O</t>
        </is>
      </c>
      <c r="D43" s="29" t="inlineStr">
        <is>
          <t>PWM_A1</t>
        </is>
      </c>
      <c r="E43" s="28" t="inlineStr">
        <is>
          <t>Used</t>
        </is>
      </c>
      <c r="F43" s="30" t="inlineStr">
        <is>
          <t>HRTIM1_CHA1</t>
        </is>
      </c>
      <c r="G43" s="30" t="inlineStr">
        <is>
          <t>AF13</t>
        </is>
      </c>
      <c r="H43" s="28" t="inlineStr">
        <is>
          <t>Out</t>
        </is>
      </c>
      <c r="I43" s="29" t="inlineStr">
        <is>
          <t>R8.1, U2.5</t>
        </is>
      </c>
      <c r="J43" s="29" t="inlineStr">
        <is>
          <t>4SBB input leg high side Q1 via UCC27211 (U2)</t>
        </is>
      </c>
      <c r="K43" s="25" t="inlineStr">
        <is>
          <t>ADC5_IN1, OPAMP5_VOUT</t>
        </is>
      </c>
      <c r="L43" s="25" t="inlineStr">
        <is>
          <t>RCC_MCO</t>
        </is>
      </c>
      <c r="M43" s="25" t="n"/>
      <c r="N43" s="25" t="inlineStr">
        <is>
          <t>I2C3_SCL</t>
        </is>
      </c>
      <c r="O43" s="25" t="n"/>
      <c r="P43" s="25" t="inlineStr">
        <is>
          <t>I2C2_SDA</t>
        </is>
      </c>
      <c r="Q43" s="25" t="inlineStr">
        <is>
          <t>I2S2_MCK</t>
        </is>
      </c>
      <c r="R43" s="25" t="inlineStr">
        <is>
          <t>TIM1_CH1</t>
        </is>
      </c>
      <c r="S43" s="25" t="inlineStr">
        <is>
          <t>USART1_CK</t>
        </is>
      </c>
      <c r="T43" s="25" t="inlineStr">
        <is>
          <t>COMP7_OUT</t>
        </is>
      </c>
      <c r="U43" s="25" t="n"/>
      <c r="V43" s="25" t="inlineStr">
        <is>
          <t>TIM4_ETR</t>
        </is>
      </c>
      <c r="W43" s="25" t="inlineStr">
        <is>
          <t>FDCAN3_RX</t>
        </is>
      </c>
      <c r="X43" s="25" t="inlineStr">
        <is>
          <t>SAI1_CK2</t>
        </is>
      </c>
      <c r="Y43" s="25" t="inlineStr">
        <is>
          <t>HRTIM1_CHA1</t>
        </is>
      </c>
      <c r="Z43" s="25" t="inlineStr">
        <is>
          <t>SAI1_SCK_A</t>
        </is>
      </c>
      <c r="AA43" s="25" t="inlineStr">
        <is>
          <t>EVENTOUT</t>
        </is>
      </c>
    </row>
    <row r="44" ht="22.35" customHeight="1" s="21">
      <c r="A44" s="28" t="n">
        <v>43</v>
      </c>
      <c r="B44" s="29" t="inlineStr">
        <is>
          <t>PA9</t>
        </is>
      </c>
      <c r="C44" s="28" t="inlineStr">
        <is>
          <t>I/O</t>
        </is>
      </c>
      <c r="D44" s="29" t="inlineStr">
        <is>
          <t>PWM_A2</t>
        </is>
      </c>
      <c r="E44" s="28" t="inlineStr">
        <is>
          <t>Used</t>
        </is>
      </c>
      <c r="F44" s="30" t="inlineStr">
        <is>
          <t>HRTIM1_CHA2</t>
        </is>
      </c>
      <c r="G44" s="30" t="inlineStr">
        <is>
          <t>AF13</t>
        </is>
      </c>
      <c r="H44" s="28" t="inlineStr">
        <is>
          <t>Out</t>
        </is>
      </c>
      <c r="I44" s="29" t="inlineStr">
        <is>
          <t>R9.1, U2.6</t>
        </is>
      </c>
      <c r="J44" s="29" t="inlineStr">
        <is>
          <t>4SBB input leg low side Q2 via U2</t>
        </is>
      </c>
      <c r="K44" s="25" t="inlineStr">
        <is>
          <t>ADC5_IN2, DAC1_EXTI9, DAC2_EXTI9, DAC3_EXTI9, DAC4_EXTI9, UCPD1_DBCC1</t>
        </is>
      </c>
      <c r="L44" s="25" t="n"/>
      <c r="M44" s="25" t="n"/>
      <c r="N44" s="25" t="inlineStr">
        <is>
          <t>I2C3_SMBA</t>
        </is>
      </c>
      <c r="O44" s="25" t="n"/>
      <c r="P44" s="25" t="inlineStr">
        <is>
          <t>I2C2_SCL</t>
        </is>
      </c>
      <c r="Q44" s="25" t="inlineStr">
        <is>
          <t>I2S3_MCK</t>
        </is>
      </c>
      <c r="R44" s="25" t="inlineStr">
        <is>
          <t>TIM1_CH2</t>
        </is>
      </c>
      <c r="S44" s="25" t="inlineStr">
        <is>
          <t>USART1_TX</t>
        </is>
      </c>
      <c r="T44" s="25" t="inlineStr">
        <is>
          <t>COMP5_OUT</t>
        </is>
      </c>
      <c r="U44" s="25" t="inlineStr">
        <is>
          <t>TIM15_BKIN</t>
        </is>
      </c>
      <c r="V44" s="25" t="inlineStr">
        <is>
          <t>TIM2_CH3</t>
        </is>
      </c>
      <c r="W44" s="25" t="n"/>
      <c r="X44" s="25" t="n"/>
      <c r="Y44" s="25" t="inlineStr">
        <is>
          <t>HRTIM1_CHA2</t>
        </is>
      </c>
      <c r="Z44" s="25" t="inlineStr">
        <is>
          <t>SAI1_FS_A</t>
        </is>
      </c>
      <c r="AA44" s="25" t="inlineStr">
        <is>
          <t>EVENTOUT</t>
        </is>
      </c>
    </row>
    <row r="45" ht="22.35" customHeight="1" s="21">
      <c r="A45" s="26" t="n">
        <v>44</v>
      </c>
      <c r="B45" s="27" t="inlineStr">
        <is>
          <t>PA10</t>
        </is>
      </c>
      <c r="C45" s="26" t="inlineStr">
        <is>
          <t>I/O</t>
        </is>
      </c>
      <c r="D45" s="27" t="inlineStr">
        <is>
          <t>SP_PA10</t>
        </is>
      </c>
      <c r="E45" s="26" t="inlineStr">
        <is>
          <t>Unused</t>
        </is>
      </c>
      <c r="F45" s="27" t="inlineStr">
        <is>
          <t>Not used</t>
        </is>
      </c>
      <c r="G45" s="27" t="inlineStr">
        <is>
          <t>Analog (reset state) or input</t>
        </is>
      </c>
      <c r="H45" s="26" t="inlineStr">
        <is>
          <t>-</t>
        </is>
      </c>
      <c r="I45" s="27" t="inlineStr">
        <is>
          <t>R101.1</t>
        </is>
      </c>
      <c r="J45" s="27" t="inlineStr">
        <is>
          <t>10k pull-down to GND (R101)</t>
        </is>
      </c>
      <c r="K45" s="25" t="inlineStr">
        <is>
          <t>DAC1_EXTI10, DAC2_EXTI10, DAC3_EXTI10, DAC4_EXTI10, UCPD1_DBCC2</t>
        </is>
      </c>
      <c r="L45" s="25" t="n"/>
      <c r="M45" s="25" t="inlineStr">
        <is>
          <t>TIM17_BKIN</t>
        </is>
      </c>
      <c r="N45" s="25" t="n"/>
      <c r="O45" s="25" t="inlineStr">
        <is>
          <t>CRS_SYNC</t>
        </is>
      </c>
      <c r="P45" s="25" t="inlineStr">
        <is>
          <t>I2C2_SMBA</t>
        </is>
      </c>
      <c r="Q45" s="25" t="inlineStr">
        <is>
          <t>SPI2_MISO</t>
        </is>
      </c>
      <c r="R45" s="25" t="inlineStr">
        <is>
          <t>TIM1_CH3</t>
        </is>
      </c>
      <c r="S45" s="25" t="inlineStr">
        <is>
          <t>USART1_RX</t>
        </is>
      </c>
      <c r="T45" s="25" t="inlineStr">
        <is>
          <t>COMP6_OUT</t>
        </is>
      </c>
      <c r="U45" s="25" t="n"/>
      <c r="V45" s="25" t="inlineStr">
        <is>
          <t>TIM2_CH4</t>
        </is>
      </c>
      <c r="W45" s="25" t="inlineStr">
        <is>
          <t>TIM8_BKIN</t>
        </is>
      </c>
      <c r="X45" s="25" t="inlineStr">
        <is>
          <t>SAI1_D1</t>
        </is>
      </c>
      <c r="Y45" s="25" t="inlineStr">
        <is>
          <t>HRTIM1_CHB1</t>
        </is>
      </c>
      <c r="Z45" s="25" t="inlineStr">
        <is>
          <t>SAI1_SD_A</t>
        </is>
      </c>
      <c r="AA45" s="25" t="inlineStr">
        <is>
          <t>EVENTOUT</t>
        </is>
      </c>
    </row>
    <row r="46" ht="22.35" customHeight="1" s="21">
      <c r="A46" s="28" t="n">
        <v>45</v>
      </c>
      <c r="B46" s="29" t="inlineStr">
        <is>
          <t>PA11</t>
        </is>
      </c>
      <c r="C46" s="28" t="inlineStr">
        <is>
          <t>I/O</t>
        </is>
      </c>
      <c r="D46" s="29" t="inlineStr">
        <is>
          <t>CAN_RXD</t>
        </is>
      </c>
      <c r="E46" s="28" t="inlineStr">
        <is>
          <t>Used</t>
        </is>
      </c>
      <c r="F46" s="30" t="inlineStr">
        <is>
          <t>FDCAN1_RX</t>
        </is>
      </c>
      <c r="G46" s="30" t="inlineStr">
        <is>
          <t>AF9</t>
        </is>
      </c>
      <c r="H46" s="28" t="inlineStr">
        <is>
          <t>In</t>
        </is>
      </c>
      <c r="I46" s="29" t="inlineStr">
        <is>
          <t>U9.5</t>
        </is>
      </c>
      <c r="J46" s="29" t="inlineStr">
        <is>
          <t>CA-IS3062VW (U9) RXD</t>
        </is>
      </c>
      <c r="K46" s="25" t="inlineStr">
        <is>
          <t>ADC1_EXTI11, ADC2_EXTI11, USB_DM</t>
        </is>
      </c>
      <c r="L46" s="25" t="n"/>
      <c r="M46" s="25" t="n"/>
      <c r="N46" s="25" t="n"/>
      <c r="O46" s="25" t="n"/>
      <c r="P46" s="25" t="n"/>
      <c r="Q46" s="25" t="inlineStr">
        <is>
          <t>I2S2_SD / SPI2_MOSI</t>
        </is>
      </c>
      <c r="R46" s="25" t="inlineStr">
        <is>
          <t>TIM1_CH1N</t>
        </is>
      </c>
      <c r="S46" s="25" t="inlineStr">
        <is>
          <t>USART1_CTS / USART1_NSS</t>
        </is>
      </c>
      <c r="T46" s="25" t="inlineStr">
        <is>
          <t>COMP1_OUT</t>
        </is>
      </c>
      <c r="U46" s="25" t="inlineStr">
        <is>
          <t>FDCAN1_RX</t>
        </is>
      </c>
      <c r="V46" s="25" t="inlineStr">
        <is>
          <t>TIM4_CH1</t>
        </is>
      </c>
      <c r="W46" s="25" t="inlineStr">
        <is>
          <t>TIM1_CH4</t>
        </is>
      </c>
      <c r="X46" s="25" t="inlineStr">
        <is>
          <t>TIM1_BKIN2</t>
        </is>
      </c>
      <c r="Y46" s="25" t="inlineStr">
        <is>
          <t>HRTIM1_CHB2</t>
        </is>
      </c>
      <c r="Z46" s="25" t="n"/>
      <c r="AA46" s="25" t="inlineStr">
        <is>
          <t>EVENTOUT</t>
        </is>
      </c>
    </row>
    <row r="47" ht="22.35" customHeight="1" s="21">
      <c r="A47" s="28" t="n">
        <v>46</v>
      </c>
      <c r="B47" s="29" t="inlineStr">
        <is>
          <t>PA12</t>
        </is>
      </c>
      <c r="C47" s="28" t="inlineStr">
        <is>
          <t>I/O</t>
        </is>
      </c>
      <c r="D47" s="29" t="inlineStr">
        <is>
          <t>CAN_TXD</t>
        </is>
      </c>
      <c r="E47" s="28" t="inlineStr">
        <is>
          <t>Used</t>
        </is>
      </c>
      <c r="F47" s="30" t="inlineStr">
        <is>
          <t>FDCAN1_TX</t>
        </is>
      </c>
      <c r="G47" s="30" t="inlineStr">
        <is>
          <t>AF9</t>
        </is>
      </c>
      <c r="H47" s="28" t="inlineStr">
        <is>
          <t>Out</t>
        </is>
      </c>
      <c r="I47" s="29" t="inlineStr">
        <is>
          <t>U9.3</t>
        </is>
      </c>
      <c r="J47" s="29" t="inlineStr">
        <is>
          <t>CA-IS3062VW (U9) TXD</t>
        </is>
      </c>
      <c r="K47" s="25" t="inlineStr">
        <is>
          <t>USB_DP</t>
        </is>
      </c>
      <c r="L47" s="25" t="n"/>
      <c r="M47" s="25" t="inlineStr">
        <is>
          <t>TIM16_CH1</t>
        </is>
      </c>
      <c r="N47" s="25" t="n"/>
      <c r="O47" s="25" t="n"/>
      <c r="P47" s="25" t="n"/>
      <c r="Q47" s="25" t="inlineStr">
        <is>
          <t>I2S_CKIN</t>
        </is>
      </c>
      <c r="R47" s="25" t="inlineStr">
        <is>
          <t>TIM1_CH2N</t>
        </is>
      </c>
      <c r="S47" s="25" t="inlineStr">
        <is>
          <t>USART1_DE / USART1_RTS</t>
        </is>
      </c>
      <c r="T47" s="25" t="inlineStr">
        <is>
          <t>COMP2_OUT</t>
        </is>
      </c>
      <c r="U47" s="25" t="inlineStr">
        <is>
          <t>FDCAN1_TX</t>
        </is>
      </c>
      <c r="V47" s="25" t="inlineStr">
        <is>
          <t>TIM4_CH2</t>
        </is>
      </c>
      <c r="W47" s="25" t="inlineStr">
        <is>
          <t>TIM1_ETR</t>
        </is>
      </c>
      <c r="X47" s="25" t="n"/>
      <c r="Y47" s="25" t="inlineStr">
        <is>
          <t>HRTIM1_FLT1</t>
        </is>
      </c>
      <c r="Z47" s="25" t="n"/>
      <c r="AA47" s="25" t="inlineStr">
        <is>
          <t>EVENTOUT</t>
        </is>
      </c>
    </row>
    <row r="48" ht="15" customHeight="1" s="21">
      <c r="A48" s="23" t="n">
        <v>47</v>
      </c>
      <c r="B48" s="24" t="inlineStr">
        <is>
          <t>VSS</t>
        </is>
      </c>
      <c r="C48" s="23" t="inlineStr">
        <is>
          <t>Power</t>
        </is>
      </c>
      <c r="D48" s="24" t="inlineStr">
        <is>
          <t>GND</t>
        </is>
      </c>
      <c r="E48" s="23" t="inlineStr">
        <is>
          <t>Power</t>
        </is>
      </c>
      <c r="F48" s="24" t="inlineStr">
        <is>
          <t>Ground</t>
        </is>
      </c>
      <c r="G48" s="24" t="inlineStr">
        <is>
          <t>Power</t>
        </is>
      </c>
      <c r="H48" s="23" t="inlineStr">
        <is>
          <t>Supply</t>
        </is>
      </c>
      <c r="I48" s="24" t="n"/>
      <c r="J48" s="24" t="inlineStr">
        <is>
          <t>Secondary GND plane (In1)</t>
        </is>
      </c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</row>
    <row r="49" ht="15" customHeight="1" s="21">
      <c r="A49" s="23" t="n">
        <v>48</v>
      </c>
      <c r="B49" s="24" t="inlineStr">
        <is>
          <t>VDD</t>
        </is>
      </c>
      <c r="C49" s="23" t="inlineStr">
        <is>
          <t>Power</t>
        </is>
      </c>
      <c r="D49" s="24" t="inlineStr">
        <is>
          <t>+3V3</t>
        </is>
      </c>
      <c r="E49" s="23" t="inlineStr">
        <is>
          <t>Power</t>
        </is>
      </c>
      <c r="F49" s="24" t="inlineStr">
        <is>
          <t>VDD supply</t>
        </is>
      </c>
      <c r="G49" s="24" t="inlineStr">
        <is>
          <t>Power</t>
        </is>
      </c>
      <c r="H49" s="23" t="inlineStr">
        <is>
          <t>Supply</t>
        </is>
      </c>
      <c r="I49" s="24" t="n"/>
      <c r="J49" s="24" t="inlineStr">
        <is>
          <t>100 nF per VDD pin (C30-C34) + 4.7 uF bulk (C35)</t>
        </is>
      </c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22.35" customHeight="1" s="21">
      <c r="A50" s="28" t="n">
        <v>49</v>
      </c>
      <c r="B50" s="29" t="inlineStr">
        <is>
          <t>PA13</t>
        </is>
      </c>
      <c r="C50" s="28" t="inlineStr">
        <is>
          <t>I/O</t>
        </is>
      </c>
      <c r="D50" s="29" t="inlineStr">
        <is>
          <t>SWDIO</t>
        </is>
      </c>
      <c r="E50" s="28" t="inlineStr">
        <is>
          <t>Used</t>
        </is>
      </c>
      <c r="F50" s="30" t="inlineStr">
        <is>
          <t>SYS_JTMS-SWDIO</t>
        </is>
      </c>
      <c r="G50" s="30" t="inlineStr">
        <is>
          <t>AF0 (reset default)</t>
        </is>
      </c>
      <c r="H50" s="28" t="inlineStr">
        <is>
          <t>In/Out</t>
        </is>
      </c>
      <c r="I50" s="29" t="inlineStr">
        <is>
          <t>J6.1, J7.2</t>
        </is>
      </c>
      <c r="J50" s="29" t="inlineStr">
        <is>
          <t>J6.1 / J7.2</t>
        </is>
      </c>
      <c r="K50" s="25" t="n"/>
      <c r="L50" s="25" t="inlineStr">
        <is>
          <t>SYS_JTMS-SWDIO</t>
        </is>
      </c>
      <c r="M50" s="25" t="inlineStr">
        <is>
          <t>TIM16_CH1N</t>
        </is>
      </c>
      <c r="N50" s="25" t="n"/>
      <c r="O50" s="25" t="inlineStr">
        <is>
          <t>I2C4_SCL</t>
        </is>
      </c>
      <c r="P50" s="25" t="inlineStr">
        <is>
          <t>I2C1_SCL</t>
        </is>
      </c>
      <c r="Q50" s="25" t="inlineStr">
        <is>
          <t>IR_OUT</t>
        </is>
      </c>
      <c r="R50" s="25" t="n"/>
      <c r="S50" s="25" t="inlineStr">
        <is>
          <t>USART3_CTS / USART3_NSS</t>
        </is>
      </c>
      <c r="T50" s="25" t="n"/>
      <c r="U50" s="25" t="n"/>
      <c r="V50" s="25" t="inlineStr">
        <is>
          <t>TIM4_CH3</t>
        </is>
      </c>
      <c r="W50" s="25" t="n"/>
      <c r="X50" s="25" t="n"/>
      <c r="Y50" s="25" t="inlineStr">
        <is>
          <t>SAI1_SD_B</t>
        </is>
      </c>
      <c r="Z50" s="25" t="n"/>
      <c r="AA50" s="25" t="inlineStr">
        <is>
          <t>EVENTOUT</t>
        </is>
      </c>
    </row>
    <row r="51" ht="22.35" customHeight="1" s="21">
      <c r="A51" s="28" t="n">
        <v>50</v>
      </c>
      <c r="B51" s="29" t="inlineStr">
        <is>
          <t>PA14</t>
        </is>
      </c>
      <c r="C51" s="28" t="inlineStr">
        <is>
          <t>I/O</t>
        </is>
      </c>
      <c r="D51" s="29" t="inlineStr">
        <is>
          <t>SWCLK</t>
        </is>
      </c>
      <c r="E51" s="28" t="inlineStr">
        <is>
          <t>Used</t>
        </is>
      </c>
      <c r="F51" s="30" t="inlineStr">
        <is>
          <t>SYS_JTCK-SWCLK</t>
        </is>
      </c>
      <c r="G51" s="30" t="inlineStr">
        <is>
          <t>AF0 (reset default)</t>
        </is>
      </c>
      <c r="H51" s="28" t="inlineStr">
        <is>
          <t>In</t>
        </is>
      </c>
      <c r="I51" s="29" t="inlineStr">
        <is>
          <t>J6.2, J7.4</t>
        </is>
      </c>
      <c r="J51" s="29" t="inlineStr">
        <is>
          <t>J6.2 / J7.4</t>
        </is>
      </c>
      <c r="K51" s="25" t="n"/>
      <c r="L51" s="25" t="inlineStr">
        <is>
          <t>SYS_JTCK-SWCLK</t>
        </is>
      </c>
      <c r="M51" s="25" t="inlineStr">
        <is>
          <t>LPTIM1_OUT</t>
        </is>
      </c>
      <c r="N51" s="25" t="n"/>
      <c r="O51" s="25" t="inlineStr">
        <is>
          <t>I2C4_SMBA</t>
        </is>
      </c>
      <c r="P51" s="25" t="inlineStr">
        <is>
          <t>I2C1_SDA</t>
        </is>
      </c>
      <c r="Q51" s="25" t="inlineStr">
        <is>
          <t>TIM8_CH2</t>
        </is>
      </c>
      <c r="R51" s="25" t="inlineStr">
        <is>
          <t>TIM1_BKIN</t>
        </is>
      </c>
      <c r="S51" s="25" t="inlineStr">
        <is>
          <t>USART2_TX</t>
        </is>
      </c>
      <c r="T51" s="25" t="n"/>
      <c r="U51" s="25" t="n"/>
      <c r="V51" s="25" t="n"/>
      <c r="W51" s="25" t="n"/>
      <c r="X51" s="25" t="n"/>
      <c r="Y51" s="25" t="inlineStr">
        <is>
          <t>SAI1_FS_B</t>
        </is>
      </c>
      <c r="Z51" s="25" t="n"/>
      <c r="AA51" s="25" t="inlineStr">
        <is>
          <t>EVENTOUT</t>
        </is>
      </c>
    </row>
    <row r="52" ht="32.8" customHeight="1" s="21">
      <c r="A52" s="28" t="n">
        <v>51</v>
      </c>
      <c r="B52" s="29" t="inlineStr">
        <is>
          <t>PA15</t>
        </is>
      </c>
      <c r="C52" s="28" t="inlineStr">
        <is>
          <t>I/O</t>
        </is>
      </c>
      <c r="D52" s="29" t="inlineStr">
        <is>
          <t>VIN_OVP</t>
        </is>
      </c>
      <c r="E52" s="28" t="inlineStr">
        <is>
          <t>Used</t>
        </is>
      </c>
      <c r="F52" s="30" t="inlineStr">
        <is>
          <t>HRTIM1_FLT2 (alt.: GPIO EXTI15)</t>
        </is>
      </c>
      <c r="G52" s="30" t="inlineStr">
        <is>
          <t>AF13</t>
        </is>
      </c>
      <c r="H52" s="28" t="inlineStr">
        <is>
          <t>In</t>
        </is>
      </c>
      <c r="I52" s="29" t="inlineStr">
        <is>
          <t>TP15.1, U12.14</t>
        </is>
      </c>
      <c r="J52" s="29" t="inlineStr">
        <is>
          <t>Rev D: primary input OVP, LMV331 + TL431 trip 50.2 V, through U12 VI1-&gt;VO1; high = over-voltage. Configure FLT2 active-high so the HRTIM shuts all outputs in hardware</t>
        </is>
      </c>
      <c r="K52" s="25" t="inlineStr">
        <is>
          <t>ADC1_EXTI15, ADC2_EXTI15</t>
        </is>
      </c>
      <c r="L52" s="25" t="inlineStr">
        <is>
          <t>SYS_JTDI</t>
        </is>
      </c>
      <c r="M52" s="25" t="inlineStr">
        <is>
          <t>TIM2_CH1</t>
        </is>
      </c>
      <c r="N52" s="25" t="inlineStr">
        <is>
          <t>TIM8_CH1</t>
        </is>
      </c>
      <c r="O52" s="25" t="n"/>
      <c r="P52" s="25" t="inlineStr">
        <is>
          <t>I2C1_SCL</t>
        </is>
      </c>
      <c r="Q52" s="25" t="inlineStr">
        <is>
          <t>SPI1_NSS</t>
        </is>
      </c>
      <c r="R52" s="25" t="inlineStr">
        <is>
          <t>I2S3_WS / SPI3_NSS</t>
        </is>
      </c>
      <c r="S52" s="25" t="inlineStr">
        <is>
          <t>USART2_RX</t>
        </is>
      </c>
      <c r="T52" s="25" t="inlineStr">
        <is>
          <t>UART4_DE / UART4_RTS</t>
        </is>
      </c>
      <c r="U52" s="25" t="inlineStr">
        <is>
          <t>TIM1_BKIN</t>
        </is>
      </c>
      <c r="V52" s="25" t="n"/>
      <c r="W52" s="25" t="inlineStr">
        <is>
          <t>FDCAN3_TX</t>
        </is>
      </c>
      <c r="X52" s="25" t="n"/>
      <c r="Y52" s="25" t="inlineStr">
        <is>
          <t>HRTIM1_FLT2</t>
        </is>
      </c>
      <c r="Z52" s="25" t="inlineStr">
        <is>
          <t>TIM2_ETR</t>
        </is>
      </c>
      <c r="AA52" s="25" t="inlineStr">
        <is>
          <t>EVENTOUT</t>
        </is>
      </c>
    </row>
    <row r="53" ht="22.35" customHeight="1" s="21">
      <c r="A53" s="28" t="n">
        <v>52</v>
      </c>
      <c r="B53" s="29" t="inlineStr">
        <is>
          <t>PC10</t>
        </is>
      </c>
      <c r="C53" s="28" t="inlineStr">
        <is>
          <t>I/O</t>
        </is>
      </c>
      <c r="D53" s="29" t="inlineStr">
        <is>
          <t>LED_FLT</t>
        </is>
      </c>
      <c r="E53" s="28" t="inlineStr">
        <is>
          <t>Used</t>
        </is>
      </c>
      <c r="F53" s="30" t="inlineStr">
        <is>
          <t>GPIO output</t>
        </is>
      </c>
      <c r="G53" s="30" t="inlineStr">
        <is>
          <t>Output push-pull</t>
        </is>
      </c>
      <c r="H53" s="28" t="inlineStr">
        <is>
          <t>Out</t>
        </is>
      </c>
      <c r="I53" s="29" t="inlineStr">
        <is>
          <t>R45.2</t>
        </is>
      </c>
      <c r="J53" s="29" t="inlineStr">
        <is>
          <t>Red FAULT LED D5 via 1k, active low</t>
        </is>
      </c>
      <c r="K53" s="25" t="inlineStr">
        <is>
          <t>DAC1_EXTI10, DAC2_EXTI10, DAC3_EXTI10, DAC4_EXTI10</t>
        </is>
      </c>
      <c r="L53" s="25" t="n"/>
      <c r="M53" s="25" t="n"/>
      <c r="N53" s="25" t="n"/>
      <c r="O53" s="25" t="n"/>
      <c r="P53" s="25" t="inlineStr">
        <is>
          <t>TIM8_CH1N</t>
        </is>
      </c>
      <c r="Q53" s="25" t="inlineStr">
        <is>
          <t>UART4_TX</t>
        </is>
      </c>
      <c r="R53" s="25" t="inlineStr">
        <is>
          <t>I2S3_CK / SPI3_SCK</t>
        </is>
      </c>
      <c r="S53" s="25" t="inlineStr">
        <is>
          <t>USART3_TX</t>
        </is>
      </c>
      <c r="T53" s="25" t="n"/>
      <c r="U53" s="25" t="n"/>
      <c r="V53" s="25" t="n"/>
      <c r="W53" s="25" t="n"/>
      <c r="X53" s="25" t="n"/>
      <c r="Y53" s="25" t="inlineStr">
        <is>
          <t>HRTIM1_FLT6</t>
        </is>
      </c>
      <c r="Z53" s="25" t="n"/>
      <c r="AA53" s="25" t="inlineStr">
        <is>
          <t>EVENTOUT</t>
        </is>
      </c>
    </row>
    <row r="54" ht="22.35" customHeight="1" s="21">
      <c r="A54" s="28" t="n">
        <v>53</v>
      </c>
      <c r="B54" s="29" t="inlineStr">
        <is>
          <t>PC11</t>
        </is>
      </c>
      <c r="C54" s="28" t="inlineStr">
        <is>
          <t>I/O</t>
        </is>
      </c>
      <c r="D54" s="29" t="inlineStr">
        <is>
          <t>SR_EN</t>
        </is>
      </c>
      <c r="E54" s="28" t="inlineStr">
        <is>
          <t>Used</t>
        </is>
      </c>
      <c r="F54" s="30" t="inlineStr">
        <is>
          <t>GPIO output</t>
        </is>
      </c>
      <c r="G54" s="30" t="inlineStr">
        <is>
          <t>Output push-pull</t>
        </is>
      </c>
      <c r="H54" s="28" t="inlineStr">
        <is>
          <t>Out</t>
        </is>
      </c>
      <c r="I54" s="29" t="inlineStr">
        <is>
          <t>R72.1, U11.1, U11.8</t>
        </is>
      </c>
      <c r="J54" s="29" t="inlineStr">
        <is>
          <t>UCC27524 ENA/ENB, high = SR drive enabled; 10k pull-downs keep it off at reset</t>
        </is>
      </c>
      <c r="K54" s="25" t="inlineStr">
        <is>
          <t>ADC1_EXTI11, ADC2_EXTI11</t>
        </is>
      </c>
      <c r="L54" s="25" t="n"/>
      <c r="M54" s="25" t="n"/>
      <c r="N54" s="25" t="n"/>
      <c r="O54" s="25" t="inlineStr">
        <is>
          <t>HRTIM1_EEV2</t>
        </is>
      </c>
      <c r="P54" s="25" t="inlineStr">
        <is>
          <t>TIM8_CH2N</t>
        </is>
      </c>
      <c r="Q54" s="25" t="inlineStr">
        <is>
          <t>UART4_RX</t>
        </is>
      </c>
      <c r="R54" s="25" t="inlineStr">
        <is>
          <t>SPI3_MISO</t>
        </is>
      </c>
      <c r="S54" s="25" t="inlineStr">
        <is>
          <t>USART3_RX</t>
        </is>
      </c>
      <c r="T54" s="25" t="inlineStr">
        <is>
          <t>I2C3_SDA</t>
        </is>
      </c>
      <c r="U54" s="25" t="n"/>
      <c r="V54" s="25" t="n"/>
      <c r="W54" s="25" t="n"/>
      <c r="X54" s="25" t="n"/>
      <c r="Y54" s="25" t="n"/>
      <c r="Z54" s="25" t="n"/>
      <c r="AA54" s="25" t="inlineStr">
        <is>
          <t>EVENTOUT</t>
        </is>
      </c>
    </row>
    <row r="55" ht="32.8" customHeight="1" s="21">
      <c r="A55" s="26" t="n">
        <v>54</v>
      </c>
      <c r="B55" s="27" t="inlineStr">
        <is>
          <t>PC12</t>
        </is>
      </c>
      <c r="C55" s="26" t="inlineStr">
        <is>
          <t>I/O</t>
        </is>
      </c>
      <c r="D55" s="27" t="inlineStr">
        <is>
          <t>SP_PC12</t>
        </is>
      </c>
      <c r="E55" s="26" t="inlineStr">
        <is>
          <t>Unused</t>
        </is>
      </c>
      <c r="F55" s="27" t="inlineStr">
        <is>
          <t>Not used</t>
        </is>
      </c>
      <c r="G55" s="27" t="inlineStr">
        <is>
          <t>Analog (reset state) or input</t>
        </is>
      </c>
      <c r="H55" s="26" t="inlineStr">
        <is>
          <t>-</t>
        </is>
      </c>
      <c r="I55" s="27" t="inlineStr">
        <is>
          <t>R102.1</t>
        </is>
      </c>
      <c r="J55" s="27" t="inlineStr">
        <is>
          <t>10k pull-down to GND (R102)</t>
        </is>
      </c>
      <c r="K55" s="25" t="n"/>
      <c r="L55" s="25" t="n"/>
      <c r="M55" s="25" t="inlineStr">
        <is>
          <t>TIM5_CH2</t>
        </is>
      </c>
      <c r="N55" s="25" t="n"/>
      <c r="O55" s="25" t="inlineStr">
        <is>
          <t>HRTIM1_EEV1</t>
        </is>
      </c>
      <c r="P55" s="25" t="inlineStr">
        <is>
          <t>TIM8_CH3N</t>
        </is>
      </c>
      <c r="Q55" s="25" t="inlineStr">
        <is>
          <t>UART5_TX</t>
        </is>
      </c>
      <c r="R55" s="25" t="inlineStr">
        <is>
          <t>I2S3_SD / SPI3_MOSI</t>
        </is>
      </c>
      <c r="S55" s="25" t="inlineStr">
        <is>
          <t>USART3_CK</t>
        </is>
      </c>
      <c r="T55" s="25" t="n"/>
      <c r="U55" s="25" t="n"/>
      <c r="V55" s="25" t="n"/>
      <c r="W55" s="25" t="n"/>
      <c r="X55" s="25" t="n"/>
      <c r="Y55" s="25" t="n"/>
      <c r="Z55" s="25" t="inlineStr">
        <is>
          <t>UCPD1_FRSTX1 / UCPD1_FRSTX2</t>
        </is>
      </c>
      <c r="AA55" s="25" t="inlineStr">
        <is>
          <t>EVENTOUT</t>
        </is>
      </c>
    </row>
    <row r="56" ht="22.35" customHeight="1" s="21">
      <c r="A56" s="26" t="n">
        <v>55</v>
      </c>
      <c r="B56" s="27" t="inlineStr">
        <is>
          <t>PD2</t>
        </is>
      </c>
      <c r="C56" s="26" t="inlineStr">
        <is>
          <t>I/O</t>
        </is>
      </c>
      <c r="D56" s="27" t="inlineStr">
        <is>
          <t>SP_PD2</t>
        </is>
      </c>
      <c r="E56" s="26" t="inlineStr">
        <is>
          <t>Unused</t>
        </is>
      </c>
      <c r="F56" s="27" t="inlineStr">
        <is>
          <t>Not used</t>
        </is>
      </c>
      <c r="G56" s="27" t="inlineStr">
        <is>
          <t>Analog (reset state) or input</t>
        </is>
      </c>
      <c r="H56" s="26" t="inlineStr">
        <is>
          <t>-</t>
        </is>
      </c>
      <c r="I56" s="27" t="inlineStr">
        <is>
          <t>R103.1</t>
        </is>
      </c>
      <c r="J56" s="27" t="inlineStr">
        <is>
          <t>10k pull-down to GND (R103)</t>
        </is>
      </c>
      <c r="K56" s="25" t="inlineStr">
        <is>
          <t>ADC3_EXTI2, ADC4_EXTI2, ADC5_EXTI2</t>
        </is>
      </c>
      <c r="L56" s="25" t="n"/>
      <c r="M56" s="25" t="n"/>
      <c r="N56" s="25" t="inlineStr">
        <is>
          <t>TIM3_ETR</t>
        </is>
      </c>
      <c r="O56" s="25" t="n"/>
      <c r="P56" s="25" t="inlineStr">
        <is>
          <t>TIM8_BKIN</t>
        </is>
      </c>
      <c r="Q56" s="25" t="inlineStr">
        <is>
          <t>UART5_RX</t>
        </is>
      </c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inlineStr">
        <is>
          <t>EVENTOUT</t>
        </is>
      </c>
    </row>
    <row r="57" ht="22.35" customHeight="1" s="21">
      <c r="A57" s="28" t="n">
        <v>56</v>
      </c>
      <c r="B57" s="29" t="inlineStr">
        <is>
          <t>PB3</t>
        </is>
      </c>
      <c r="C57" s="28" t="inlineStr">
        <is>
          <t>I/O</t>
        </is>
      </c>
      <c r="D57" s="29" t="inlineStr">
        <is>
          <t>SWO</t>
        </is>
      </c>
      <c r="E57" s="28" t="inlineStr">
        <is>
          <t>Used</t>
        </is>
      </c>
      <c r="F57" s="30" t="inlineStr">
        <is>
          <t>SYS_JTDO-SWO</t>
        </is>
      </c>
      <c r="G57" s="30" t="inlineStr">
        <is>
          <t>AF0 (reset default)</t>
        </is>
      </c>
      <c r="H57" s="28" t="inlineStr">
        <is>
          <t>Out</t>
        </is>
      </c>
      <c r="I57" s="29" t="inlineStr">
        <is>
          <t>J7.6</t>
        </is>
      </c>
      <c r="J57" s="29" t="inlineStr">
        <is>
          <t>J7.6 trace output</t>
        </is>
      </c>
      <c r="K57" s="25" t="inlineStr">
        <is>
          <t>ADC3_EXTI3, ADC4_EXTI3, ADC5_EXTI3</t>
        </is>
      </c>
      <c r="L57" s="25" t="inlineStr">
        <is>
          <t>SYS_JTDO-SWO</t>
        </is>
      </c>
      <c r="M57" s="25" t="inlineStr">
        <is>
          <t>TIM2_CH2</t>
        </is>
      </c>
      <c r="N57" s="25" t="inlineStr">
        <is>
          <t>TIM4_ETR</t>
        </is>
      </c>
      <c r="O57" s="25" t="inlineStr">
        <is>
          <t>CRS_SYNC</t>
        </is>
      </c>
      <c r="P57" s="25" t="inlineStr">
        <is>
          <t>TIM8_CH1N</t>
        </is>
      </c>
      <c r="Q57" s="25" t="inlineStr">
        <is>
          <t>SPI1_SCK</t>
        </is>
      </c>
      <c r="R57" s="25" t="inlineStr">
        <is>
          <t>I2S3_CK / SPI3_SCK</t>
        </is>
      </c>
      <c r="S57" s="25" t="inlineStr">
        <is>
          <t>USART2_TX</t>
        </is>
      </c>
      <c r="T57" s="25" t="n"/>
      <c r="U57" s="25" t="n"/>
      <c r="V57" s="25" t="inlineStr">
        <is>
          <t>TIM3_ETR</t>
        </is>
      </c>
      <c r="W57" s="25" t="inlineStr">
        <is>
          <t>FDCAN3_RX</t>
        </is>
      </c>
      <c r="X57" s="25" t="inlineStr">
        <is>
          <t>HRTIM1_SCOUT</t>
        </is>
      </c>
      <c r="Y57" s="25" t="inlineStr">
        <is>
          <t>HRTIM1_EEV9</t>
        </is>
      </c>
      <c r="Z57" s="25" t="inlineStr">
        <is>
          <t>SAI1_SCK_B</t>
        </is>
      </c>
      <c r="AA57" s="25" t="inlineStr">
        <is>
          <t>EVENTOUT</t>
        </is>
      </c>
    </row>
    <row r="58" ht="22.35" customHeight="1" s="21">
      <c r="A58" s="26" t="n">
        <v>57</v>
      </c>
      <c r="B58" s="27" t="inlineStr">
        <is>
          <t>PB4</t>
        </is>
      </c>
      <c r="C58" s="26" t="inlineStr">
        <is>
          <t>I/O</t>
        </is>
      </c>
      <c r="D58" s="27" t="inlineStr">
        <is>
          <t>SP_PB4</t>
        </is>
      </c>
      <c r="E58" s="26" t="inlineStr">
        <is>
          <t>Unused</t>
        </is>
      </c>
      <c r="F58" s="27" t="inlineStr">
        <is>
          <t>Not used</t>
        </is>
      </c>
      <c r="G58" s="27" t="inlineStr">
        <is>
          <t>Analog (reset state) or input</t>
        </is>
      </c>
      <c r="H58" s="26" t="inlineStr">
        <is>
          <t>-</t>
        </is>
      </c>
      <c r="I58" s="27" t="inlineStr">
        <is>
          <t>R104.1</t>
        </is>
      </c>
      <c r="J58" s="27" t="inlineStr">
        <is>
          <t>10k pull-down to GND (R104); PB4 = NJTRST with internal pull-up at reset - harmless, JTAG unused (SWD only)</t>
        </is>
      </c>
      <c r="K58" s="25" t="inlineStr">
        <is>
          <t>UCPD1_CC2</t>
        </is>
      </c>
      <c r="L58" s="25" t="inlineStr">
        <is>
          <t>SYS_JTRST</t>
        </is>
      </c>
      <c r="M58" s="25" t="inlineStr">
        <is>
          <t>TIM16_CH1</t>
        </is>
      </c>
      <c r="N58" s="25" t="inlineStr">
        <is>
          <t>TIM3_CH1</t>
        </is>
      </c>
      <c r="O58" s="25" t="n"/>
      <c r="P58" s="25" t="inlineStr">
        <is>
          <t>TIM8_CH2N</t>
        </is>
      </c>
      <c r="Q58" s="25" t="inlineStr">
        <is>
          <t>SPI1_MISO</t>
        </is>
      </c>
      <c r="R58" s="25" t="inlineStr">
        <is>
          <t>SPI3_MISO</t>
        </is>
      </c>
      <c r="S58" s="25" t="inlineStr">
        <is>
          <t>USART2_RX</t>
        </is>
      </c>
      <c r="T58" s="25" t="inlineStr">
        <is>
          <t>UART5_DE / UART5_RTS</t>
        </is>
      </c>
      <c r="U58" s="25" t="n"/>
      <c r="V58" s="25" t="inlineStr">
        <is>
          <t>TIM17_BKIN</t>
        </is>
      </c>
      <c r="W58" s="25" t="inlineStr">
        <is>
          <t>FDCAN3_TX</t>
        </is>
      </c>
      <c r="X58" s="25" t="n"/>
      <c r="Y58" s="25" t="inlineStr">
        <is>
          <t>HRTIM1_EEV7</t>
        </is>
      </c>
      <c r="Z58" s="25" t="inlineStr">
        <is>
          <t>SAI1_MCLK_B</t>
        </is>
      </c>
      <c r="AA58" s="25" t="inlineStr">
        <is>
          <t>EVENTOUT</t>
        </is>
      </c>
    </row>
    <row r="59" ht="22.35" customHeight="1" s="21">
      <c r="A59" s="26" t="n">
        <v>58</v>
      </c>
      <c r="B59" s="27" t="inlineStr">
        <is>
          <t>PB5</t>
        </is>
      </c>
      <c r="C59" s="26" t="inlineStr">
        <is>
          <t>I/O</t>
        </is>
      </c>
      <c r="D59" s="27" t="inlineStr">
        <is>
          <t>SP_PB5</t>
        </is>
      </c>
      <c r="E59" s="26" t="inlineStr">
        <is>
          <t>Unused</t>
        </is>
      </c>
      <c r="F59" s="27" t="inlineStr">
        <is>
          <t>Not used</t>
        </is>
      </c>
      <c r="G59" s="27" t="inlineStr">
        <is>
          <t>Analog (reset state) or input</t>
        </is>
      </c>
      <c r="H59" s="26" t="inlineStr">
        <is>
          <t>-</t>
        </is>
      </c>
      <c r="I59" s="27" t="inlineStr">
        <is>
          <t>R105.1</t>
        </is>
      </c>
      <c r="J59" s="27" t="inlineStr">
        <is>
          <t>10k pull-down to GND (R105)</t>
        </is>
      </c>
      <c r="K59" s="25" t="n"/>
      <c r="L59" s="25" t="n"/>
      <c r="M59" s="25" t="inlineStr">
        <is>
          <t>TIM16_BKIN</t>
        </is>
      </c>
      <c r="N59" s="25" t="inlineStr">
        <is>
          <t>TIM3_CH2</t>
        </is>
      </c>
      <c r="O59" s="25" t="inlineStr">
        <is>
          <t>TIM8_CH3N</t>
        </is>
      </c>
      <c r="P59" s="25" t="inlineStr">
        <is>
          <t>I2C1_SMBA</t>
        </is>
      </c>
      <c r="Q59" s="25" t="inlineStr">
        <is>
          <t>SPI1_MOSI</t>
        </is>
      </c>
      <c r="R59" s="25" t="inlineStr">
        <is>
          <t>I2S3_SD / SPI3_MOSI</t>
        </is>
      </c>
      <c r="S59" s="25" t="inlineStr">
        <is>
          <t>USART2_CK</t>
        </is>
      </c>
      <c r="T59" s="25" t="inlineStr">
        <is>
          <t>I2C3_SDA</t>
        </is>
      </c>
      <c r="U59" s="25" t="inlineStr">
        <is>
          <t>FDCAN2_RX</t>
        </is>
      </c>
      <c r="V59" s="25" t="inlineStr">
        <is>
          <t>TIM17_CH1</t>
        </is>
      </c>
      <c r="W59" s="25" t="inlineStr">
        <is>
          <t>LPTIM1_IN1</t>
        </is>
      </c>
      <c r="X59" s="25" t="inlineStr">
        <is>
          <t>SAI1_SD_B</t>
        </is>
      </c>
      <c r="Y59" s="25" t="inlineStr">
        <is>
          <t>HRTIM1_EEV6</t>
        </is>
      </c>
      <c r="Z59" s="25" t="inlineStr">
        <is>
          <t>UART5_CTS</t>
        </is>
      </c>
      <c r="AA59" s="25" t="inlineStr">
        <is>
          <t>EVENTOUT</t>
        </is>
      </c>
    </row>
    <row r="60" ht="15" customHeight="1" s="21">
      <c r="A60" s="28" t="n">
        <v>59</v>
      </c>
      <c r="B60" s="29" t="inlineStr">
        <is>
          <t>PB6</t>
        </is>
      </c>
      <c r="C60" s="28" t="inlineStr">
        <is>
          <t>I/O</t>
        </is>
      </c>
      <c r="D60" s="29" t="inlineStr">
        <is>
          <t>TP_GPIO1</t>
        </is>
      </c>
      <c r="E60" s="28" t="inlineStr">
        <is>
          <t>Used</t>
        </is>
      </c>
      <c r="F60" s="30" t="inlineStr">
        <is>
          <t>GPIO</t>
        </is>
      </c>
      <c r="G60" s="30" t="inlineStr">
        <is>
          <t>Output (debug)</t>
        </is>
      </c>
      <c r="H60" s="28" t="inlineStr">
        <is>
          <t>In/Out</t>
        </is>
      </c>
      <c r="I60" s="29" t="inlineStr">
        <is>
          <t>J6.4</t>
        </is>
      </c>
      <c r="J60" s="29" t="inlineStr">
        <is>
          <t>Test_pin_GPIO1 on J6.4 (timing / debug)</t>
        </is>
      </c>
      <c r="K60" s="25" t="inlineStr">
        <is>
          <t>UCPD1_CC1</t>
        </is>
      </c>
      <c r="L60" s="25" t="n"/>
      <c r="M60" s="25" t="inlineStr">
        <is>
          <t>TIM16_CH1N</t>
        </is>
      </c>
      <c r="N60" s="25" t="inlineStr">
        <is>
          <t>TIM4_CH1</t>
        </is>
      </c>
      <c r="O60" s="25" t="n"/>
      <c r="P60" s="25" t="n"/>
      <c r="Q60" s="25" t="inlineStr">
        <is>
          <t>TIM8_CH1</t>
        </is>
      </c>
      <c r="R60" s="25" t="inlineStr">
        <is>
          <t>TIM8_ETR</t>
        </is>
      </c>
      <c r="S60" s="25" t="inlineStr">
        <is>
          <t>USART1_TX</t>
        </is>
      </c>
      <c r="T60" s="25" t="inlineStr">
        <is>
          <t>COMP4_OUT</t>
        </is>
      </c>
      <c r="U60" s="25" t="inlineStr">
        <is>
          <t>FDCAN2_TX</t>
        </is>
      </c>
      <c r="V60" s="25" t="inlineStr">
        <is>
          <t>TIM8_BKIN2</t>
        </is>
      </c>
      <c r="W60" s="25" t="inlineStr">
        <is>
          <t>LPTIM1_ETR</t>
        </is>
      </c>
      <c r="X60" s="25" t="inlineStr">
        <is>
          <t>HRTIM1_SCIN</t>
        </is>
      </c>
      <c r="Y60" s="25" t="inlineStr">
        <is>
          <t>HRTIM1_EEV4</t>
        </is>
      </c>
      <c r="Z60" s="25" t="inlineStr">
        <is>
          <t>SAI1_FS_B</t>
        </is>
      </c>
      <c r="AA60" s="25" t="inlineStr">
        <is>
          <t>EVENTOUT</t>
        </is>
      </c>
    </row>
    <row r="61" ht="15" customHeight="1" s="21">
      <c r="A61" s="28" t="n">
        <v>60</v>
      </c>
      <c r="B61" s="29" t="inlineStr">
        <is>
          <t>PB7</t>
        </is>
      </c>
      <c r="C61" s="28" t="inlineStr">
        <is>
          <t>I/O</t>
        </is>
      </c>
      <c r="D61" s="29" t="inlineStr">
        <is>
          <t>TP_GPIO2</t>
        </is>
      </c>
      <c r="E61" s="28" t="inlineStr">
        <is>
          <t>Used</t>
        </is>
      </c>
      <c r="F61" s="30" t="inlineStr">
        <is>
          <t>GPIO</t>
        </is>
      </c>
      <c r="G61" s="30" t="inlineStr">
        <is>
          <t>Output (debug)</t>
        </is>
      </c>
      <c r="H61" s="28" t="inlineStr">
        <is>
          <t>In/Out</t>
        </is>
      </c>
      <c r="I61" s="29" t="inlineStr">
        <is>
          <t>J6.5</t>
        </is>
      </c>
      <c r="J61" s="29" t="inlineStr">
        <is>
          <t>Test_pin_GPIO2 on J6.5 (timing / debug)</t>
        </is>
      </c>
      <c r="K61" s="25" t="inlineStr">
        <is>
          <t>SYS_PVD_IN</t>
        </is>
      </c>
      <c r="L61" s="25" t="n"/>
      <c r="M61" s="25" t="inlineStr">
        <is>
          <t>TIM17_CH1N</t>
        </is>
      </c>
      <c r="N61" s="25" t="inlineStr">
        <is>
          <t>TIM4_CH2</t>
        </is>
      </c>
      <c r="O61" s="25" t="inlineStr">
        <is>
          <t>I2C4_SDA</t>
        </is>
      </c>
      <c r="P61" s="25" t="inlineStr">
        <is>
          <t>I2C1_SDA</t>
        </is>
      </c>
      <c r="Q61" s="25" t="inlineStr">
        <is>
          <t>TIM8_BKIN</t>
        </is>
      </c>
      <c r="R61" s="25" t="n"/>
      <c r="S61" s="25" t="inlineStr">
        <is>
          <t>USART1_RX</t>
        </is>
      </c>
      <c r="T61" s="25" t="inlineStr">
        <is>
          <t>COMP3_OUT</t>
        </is>
      </c>
      <c r="U61" s="25" t="n"/>
      <c r="V61" s="25" t="inlineStr">
        <is>
          <t>TIM3_CH4</t>
        </is>
      </c>
      <c r="W61" s="25" t="inlineStr">
        <is>
          <t>LPTIM1_IN2</t>
        </is>
      </c>
      <c r="X61" s="25" t="inlineStr">
        <is>
          <t>FMC_NL</t>
        </is>
      </c>
      <c r="Y61" s="25" t="inlineStr">
        <is>
          <t>HRTIM1_EEV3</t>
        </is>
      </c>
      <c r="Z61" s="25" t="inlineStr">
        <is>
          <t>UART4_CTS</t>
        </is>
      </c>
      <c r="AA61" s="25" t="inlineStr">
        <is>
          <t>EVENTOUT</t>
        </is>
      </c>
    </row>
    <row r="62" ht="22.35" customHeight="1" s="21">
      <c r="A62" s="28" t="n">
        <v>61</v>
      </c>
      <c r="B62" s="29" t="inlineStr">
        <is>
          <t>PB8-BOOT0</t>
        </is>
      </c>
      <c r="C62" s="28" t="inlineStr">
        <is>
          <t>I/O</t>
        </is>
      </c>
      <c r="D62" s="29" t="inlineStr">
        <is>
          <t>BOOT0</t>
        </is>
      </c>
      <c r="E62" s="28" t="inlineStr">
        <is>
          <t>Used</t>
        </is>
      </c>
      <c r="F62" s="30" t="inlineStr">
        <is>
          <t>BOOT0</t>
        </is>
      </c>
      <c r="G62" s="30" t="inlineStr">
        <is>
          <t>Boot pin</t>
        </is>
      </c>
      <c r="H62" s="28" t="inlineStr">
        <is>
          <t>In</t>
        </is>
      </c>
      <c r="I62" s="29" t="inlineStr">
        <is>
          <t>R20.1</t>
        </is>
      </c>
      <c r="J62" s="29" t="inlineStr">
        <is>
          <t>10k to GND (R20) -&gt; boot from flash; nSWBOOT0 option bit may override</t>
        </is>
      </c>
      <c r="K62" s="25" t="n"/>
      <c r="L62" s="25" t="n"/>
      <c r="M62" s="25" t="inlineStr">
        <is>
          <t>TIM16_CH1</t>
        </is>
      </c>
      <c r="N62" s="25" t="inlineStr">
        <is>
          <t>TIM4_CH3</t>
        </is>
      </c>
      <c r="O62" s="25" t="inlineStr">
        <is>
          <t>SAI1_CK1</t>
        </is>
      </c>
      <c r="P62" s="25" t="inlineStr">
        <is>
          <t>I2C1_SCL</t>
        </is>
      </c>
      <c r="Q62" s="25" t="n"/>
      <c r="R62" s="25" t="n"/>
      <c r="S62" s="25" t="inlineStr">
        <is>
          <t>USART3_RX</t>
        </is>
      </c>
      <c r="T62" s="25" t="inlineStr">
        <is>
          <t>COMP1_OUT</t>
        </is>
      </c>
      <c r="U62" s="25" t="inlineStr">
        <is>
          <t>FDCAN1_RX</t>
        </is>
      </c>
      <c r="V62" s="25" t="inlineStr">
        <is>
          <t>TIM8_CH2</t>
        </is>
      </c>
      <c r="W62" s="25" t="n"/>
      <c r="X62" s="25" t="inlineStr">
        <is>
          <t>TIM1_BKIN</t>
        </is>
      </c>
      <c r="Y62" s="25" t="inlineStr">
        <is>
          <t>HRTIM1_EEV8</t>
        </is>
      </c>
      <c r="Z62" s="25" t="inlineStr">
        <is>
          <t>SAI1_MCLK_A</t>
        </is>
      </c>
      <c r="AA62" s="25" t="inlineStr">
        <is>
          <t>EVENTOUT</t>
        </is>
      </c>
    </row>
    <row r="63" ht="22.35" customHeight="1" s="21">
      <c r="A63" s="28" t="n">
        <v>62</v>
      </c>
      <c r="B63" s="29" t="inlineStr">
        <is>
          <t>PB9</t>
        </is>
      </c>
      <c r="C63" s="28" t="inlineStr">
        <is>
          <t>I/O</t>
        </is>
      </c>
      <c r="D63" s="29" t="inlineStr">
        <is>
          <t>LED_RUN</t>
        </is>
      </c>
      <c r="E63" s="28" t="inlineStr">
        <is>
          <t>Used</t>
        </is>
      </c>
      <c r="F63" s="30" t="inlineStr">
        <is>
          <t>GPIO output</t>
        </is>
      </c>
      <c r="G63" s="30" t="inlineStr">
        <is>
          <t>Output push-pull</t>
        </is>
      </c>
      <c r="H63" s="28" t="inlineStr">
        <is>
          <t>Out</t>
        </is>
      </c>
      <c r="I63" s="29" t="inlineStr">
        <is>
          <t>R44.2</t>
        </is>
      </c>
      <c r="J63" s="29" t="inlineStr">
        <is>
          <t>Green RUN LED D4 via 1k, active low</t>
        </is>
      </c>
      <c r="K63" s="25" t="inlineStr">
        <is>
          <t>DAC1_EXTI9, DAC2_EXTI9, DAC3_EXTI9, DAC4_EXTI9</t>
        </is>
      </c>
      <c r="L63" s="25" t="n"/>
      <c r="M63" s="25" t="inlineStr">
        <is>
          <t>TIM17_CH1</t>
        </is>
      </c>
      <c r="N63" s="25" t="inlineStr">
        <is>
          <t>TIM4_CH4</t>
        </is>
      </c>
      <c r="O63" s="25" t="inlineStr">
        <is>
          <t>SAI1_D2</t>
        </is>
      </c>
      <c r="P63" s="25" t="inlineStr">
        <is>
          <t>I2C1_SDA</t>
        </is>
      </c>
      <c r="Q63" s="25" t="n"/>
      <c r="R63" s="25" t="inlineStr">
        <is>
          <t>IR_OUT</t>
        </is>
      </c>
      <c r="S63" s="25" t="inlineStr">
        <is>
          <t>USART3_TX</t>
        </is>
      </c>
      <c r="T63" s="25" t="inlineStr">
        <is>
          <t>COMP2_OUT</t>
        </is>
      </c>
      <c r="U63" s="25" t="inlineStr">
        <is>
          <t>FDCAN1_TX</t>
        </is>
      </c>
      <c r="V63" s="25" t="inlineStr">
        <is>
          <t>TIM8_CH3</t>
        </is>
      </c>
      <c r="W63" s="25" t="n"/>
      <c r="X63" s="25" t="inlineStr">
        <is>
          <t>TIM1_CH3N</t>
        </is>
      </c>
      <c r="Y63" s="25" t="inlineStr">
        <is>
          <t>HRTIM1_EEV5</t>
        </is>
      </c>
      <c r="Z63" s="25" t="inlineStr">
        <is>
          <t>SAI1_FS_A</t>
        </is>
      </c>
      <c r="AA63" s="25" t="inlineStr">
        <is>
          <t>EVENTOUT</t>
        </is>
      </c>
    </row>
    <row r="64" ht="15" customHeight="1" s="21">
      <c r="A64" s="23" t="n">
        <v>63</v>
      </c>
      <c r="B64" s="24" t="inlineStr">
        <is>
          <t>VSS</t>
        </is>
      </c>
      <c r="C64" s="23" t="inlineStr">
        <is>
          <t>Power</t>
        </is>
      </c>
      <c r="D64" s="24" t="inlineStr">
        <is>
          <t>GND</t>
        </is>
      </c>
      <c r="E64" s="23" t="inlineStr">
        <is>
          <t>Power</t>
        </is>
      </c>
      <c r="F64" s="24" t="inlineStr">
        <is>
          <t>Ground</t>
        </is>
      </c>
      <c r="G64" s="24" t="inlineStr">
        <is>
          <t>Power</t>
        </is>
      </c>
      <c r="H64" s="23" t="inlineStr">
        <is>
          <t>Supply</t>
        </is>
      </c>
      <c r="I64" s="24" t="n"/>
      <c r="J64" s="24" t="inlineStr">
        <is>
          <t>Secondary GND plane (In1)</t>
        </is>
      </c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</row>
    <row r="65" ht="15" customHeight="1" s="21">
      <c r="A65" s="23" t="n">
        <v>64</v>
      </c>
      <c r="B65" s="24" t="inlineStr">
        <is>
          <t>VDD</t>
        </is>
      </c>
      <c r="C65" s="23" t="inlineStr">
        <is>
          <t>Power</t>
        </is>
      </c>
      <c r="D65" s="24" t="inlineStr">
        <is>
          <t>+3V3</t>
        </is>
      </c>
      <c r="E65" s="23" t="inlineStr">
        <is>
          <t>Power</t>
        </is>
      </c>
      <c r="F65" s="24" t="inlineStr">
        <is>
          <t>VDD supply</t>
        </is>
      </c>
      <c r="G65" s="24" t="inlineStr">
        <is>
          <t>Power</t>
        </is>
      </c>
      <c r="H65" s="23" t="inlineStr">
        <is>
          <t>Supply</t>
        </is>
      </c>
      <c r="I65" s="24" t="n"/>
      <c r="J65" s="24" t="inlineStr">
        <is>
          <t>100 nF per VDD pin (C30-C34) + 4.7 uF bulk (C35)</t>
        </is>
      </c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</sheetData>
  <autoFilter ref="A1:AA6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0" min="1" max="1"/>
    <col width="90" customWidth="1" style="20" min="2" max="2"/>
  </cols>
  <sheetData>
    <row r="1" ht="15" customHeight="1" s="21">
      <c r="A1" s="34" t="inlineStr">
        <is>
          <t>STM32G474RBT6 (LQFP64) pin usage - DCDC LLC + 4SBB, Rev D</t>
        </is>
      </c>
    </row>
    <row r="2"/>
    <row r="3" ht="15" customHeight="1" s="21">
      <c r="A3" s="35" t="inlineStr">
        <is>
          <t>Status</t>
        </is>
      </c>
      <c r="B3" s="35" t="inlineStr">
        <is>
          <t>Pins</t>
        </is>
      </c>
    </row>
    <row r="4" ht="15" customHeight="1" s="21">
      <c r="A4" s="36" t="inlineStr">
        <is>
          <t>Used</t>
        </is>
      </c>
      <c r="B4" s="36">
        <f>COUNTIF('Pin map'!$E$2:$E$65,"Used")</f>
        <v/>
      </c>
    </row>
    <row r="5" ht="15" customHeight="1" s="21">
      <c r="A5" s="36" t="inlineStr">
        <is>
          <t>Reserved</t>
        </is>
      </c>
      <c r="B5" s="36">
        <f>COUNTIF('Pin map'!$E$2:$E$65,"Reserved")</f>
        <v/>
      </c>
    </row>
    <row r="6" ht="15" customHeight="1" s="21">
      <c r="A6" s="36" t="inlineStr">
        <is>
          <t>Unused (10k pull-down)</t>
        </is>
      </c>
      <c r="B6" s="36">
        <f>COUNTIF('Pin map'!$E$2:$E$65,"Unused")</f>
        <v/>
      </c>
    </row>
    <row r="7" ht="15" customHeight="1" s="21">
      <c r="A7" s="36" t="inlineStr">
        <is>
          <t>Power / ground</t>
        </is>
      </c>
      <c r="B7" s="36">
        <f>COUNTIF('Pin map'!$E$2:$E$65,"Power")</f>
        <v/>
      </c>
    </row>
    <row r="8" ht="15" customHeight="1" s="21">
      <c r="A8" s="35" t="inlineStr">
        <is>
          <t>Total</t>
        </is>
      </c>
      <c r="B8" s="35">
        <f>SUM(B4:B7)</f>
        <v/>
      </c>
    </row>
    <row r="9" ht="15" customHeight="1" s="21">
      <c r="A9" s="36" t="inlineStr">
        <is>
          <t>Check (must be 64)</t>
        </is>
      </c>
      <c r="B9" s="36">
        <f>COUNTA('Pin map'!$A$2:$A$65)</f>
        <v/>
      </c>
    </row>
    <row r="10"/>
    <row r="11"/>
    <row r="12" ht="15" customHeight="1" s="21">
      <c r="A12" s="37" t="inlineStr">
        <is>
          <t>Peripheral resources in use</t>
        </is>
      </c>
    </row>
    <row r="13" ht="15" customHeight="1" s="21">
      <c r="A13" s="38" t="inlineStr">
        <is>
          <t>Peripheral</t>
        </is>
      </c>
      <c r="B13" s="38" t="inlineStr">
        <is>
          <t>Signals (pin)</t>
        </is>
      </c>
    </row>
    <row r="14" ht="15" customHeight="1" s="21">
      <c r="A14" s="39" t="inlineStr">
        <is>
          <t>HRTIM1 Timer A</t>
        </is>
      </c>
      <c r="B14" s="39" t="inlineStr">
        <is>
          <t>CHA1 PA8, CHA2 PA9 (AF13) - 4SBB input leg, 150 kHz</t>
        </is>
      </c>
    </row>
    <row r="15" ht="15" customHeight="1" s="21">
      <c r="A15" s="39" t="inlineStr">
        <is>
          <t>HRTIM1 Timer E</t>
        </is>
      </c>
      <c r="B15" s="39" t="inlineStr">
        <is>
          <t>CHE1 PC8, CHE2 PC9 (AF3) - 4SBB output leg, 150 kHz</t>
        </is>
      </c>
    </row>
    <row r="16" ht="15" customHeight="1" s="21">
      <c r="A16" s="39" t="inlineStr">
        <is>
          <t>HRTIM1 Timer C</t>
        </is>
      </c>
      <c r="B16" s="39" t="inlineStr">
        <is>
          <t>CHC1 PB12, CHC2 PB13 (AF13) - LLC half-bridge, ~205 kHz</t>
        </is>
      </c>
    </row>
    <row r="17" ht="15" customHeight="1" s="21">
      <c r="A17" s="39" t="inlineStr">
        <is>
          <t>HRTIM1 Timer D</t>
        </is>
      </c>
      <c r="B17" s="39" t="inlineStr">
        <is>
          <t>CHD1 PB14, CHD2 PB15 (AF13) - synchronous rectifiers</t>
        </is>
      </c>
    </row>
    <row r="18" ht="15" customHeight="1" s="21">
      <c r="A18" s="39" t="inlineStr">
        <is>
          <t>HRTIM1 faults</t>
        </is>
      </c>
      <c r="B18" s="39" t="inlineStr">
        <is>
          <t>FLT2 PA15 (AF13) = input OVP; internal COMP1/COMP4/COMP6 outputs as fault sources</t>
        </is>
      </c>
    </row>
    <row r="19" ht="15" customHeight="1" s="21">
      <c r="A19" s="39" t="inlineStr">
        <is>
          <t>ADC1</t>
        </is>
      </c>
      <c r="B19" s="39" t="inlineStr">
        <is>
          <t>IN1 PA0 VBUS, IN2 PA1 IOUT, IN12 PB1 IL, IN14 PB11 VOUT</t>
        </is>
      </c>
    </row>
    <row r="20" ht="15" customHeight="1" s="21">
      <c r="A20" s="39" t="inlineStr">
        <is>
          <t>ADC2</t>
        </is>
      </c>
      <c r="B20" s="39" t="inlineStr">
        <is>
          <t>IN3 PA6 NTC</t>
        </is>
      </c>
    </row>
    <row r="21" ht="15" customHeight="1" s="21">
      <c r="A21" s="39" t="inlineStr">
        <is>
          <t>COMP1 / COMP4 / COMP6</t>
        </is>
      </c>
      <c r="B21" s="39" t="inlineStr">
        <is>
          <t>INP PB1 (+OCP), INP PB0 (-OCP), INP PB11 (VOUT OVP); INM from DAC3 channels</t>
        </is>
      </c>
    </row>
    <row r="22" ht="15" customHeight="1" s="21">
      <c r="A22" s="39" t="inlineStr">
        <is>
          <t>DAC1</t>
        </is>
      </c>
      <c r="B22" s="39" t="inlineStr">
        <is>
          <t>OUT2 PA5 = Test_pin_DAC; OUT1 PA4 reserved</t>
        </is>
      </c>
    </row>
    <row r="23" ht="15" customHeight="1" s="21">
      <c r="A23" s="39" t="inlineStr">
        <is>
          <t>DAC3 (internal)</t>
        </is>
      </c>
      <c r="B23" s="39" t="inlineStr">
        <is>
          <t>Comparator thresholds, no pins</t>
        </is>
      </c>
    </row>
    <row r="24" ht="15" customHeight="1" s="21">
      <c r="A24" s="39" t="inlineStr">
        <is>
          <t>FDCAN1</t>
        </is>
      </c>
      <c r="B24" s="39" t="inlineStr">
        <is>
          <t>RX PA11, TX PA12 (AF9) -&gt; isolated CAN</t>
        </is>
      </c>
    </row>
    <row r="25" ht="15" customHeight="1" s="21">
      <c r="A25" s="39" t="inlineStr">
        <is>
          <t>SWD</t>
        </is>
      </c>
      <c r="B25" s="39" t="inlineStr">
        <is>
          <t>SWDIO PA13, SWCLK PA14, SWO PB3, NRST</t>
        </is>
      </c>
    </row>
    <row r="26" ht="15" customHeight="1" s="21">
      <c r="A26" s="39" t="inlineStr">
        <is>
          <t>RCC</t>
        </is>
      </c>
      <c r="B26" s="39" t="inlineStr">
        <is>
          <t>HSE 16 MHz crystal PF0/PF1 -&gt; PLL 170 MHz</t>
        </is>
      </c>
    </row>
    <row r="27" ht="15" customHeight="1" s="21">
      <c r="A27" s="39" t="inlineStr">
        <is>
          <t>GPIO</t>
        </is>
      </c>
      <c r="B27" s="39" t="inlineStr">
        <is>
          <t>ADDR0-5 PC0-PC5 (in), LED_RUN PB9, LED_FLT PC10, SR_EN PC11, TP_GPIO1/2 PB6/PB7</t>
        </is>
      </c>
    </row>
    <row r="28"/>
    <row r="29"/>
    <row r="30" ht="15" customHeight="1" s="21">
      <c r="A30" s="40" t="inlineStr">
        <is>
          <t>Legend: green = used, blue = reserved, grey = unused (10k pull-down), yellow = power. Pin-map columns K-AA copied from the ST pin database.</t>
        </is>
      </c>
    </row>
    <row r="31" ht="15" customHeight="1" s="21">
      <c r="A31" s="40" t="inlineStr">
        <is>
          <t>Source: STMicroelectronics STM32_open_pin_data (CubeMX DB) - mcu/STM32G474R(B-C-E)Tx.xml and mcu/IP/GPIO-STM32G47x_gpio_v1_0_Modes.xml; matches datasheet DS12288 pin definition and alternate-function tables.</t>
        </is>
      </c>
    </row>
    <row r="32" ht="15" customHeight="1" s="21">
      <c r="A32" s="40" t="inlineStr">
        <is>
          <t>Design columns D-J generated from the Rev D netlist (design.py, U1). Edit the netlist, not this sheet, and regenerate.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2026-10-17T18:33:55Z</dcterms:created>
  <dcterms:modified xmlns:dcterms="http://purl.org/dc/terms/" xmlns:xsi="http://www.w3.org/2001/XMLSchema-instance" xsi:type="dcterms:W3CDTF">2026-10-20T00:08:13Z</dcterms:modified>
  <cp:revision>0</cp:revision>
</cp:coreProperties>
</file>